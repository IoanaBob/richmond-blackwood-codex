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Services checklist" sheetId="4" r:id="rId8"/>
  </sheets>
  <definedNames>
    <definedName hidden="1" localSheetId="3" name="_xlnm._FilterDatabase">'Services checklist'!$A$7:$K$39</definedName>
  </definedNames>
  <calcPr/>
</workbook>
</file>

<file path=xl/sharedStrings.xml><?xml version="1.0" encoding="utf-8"?>
<sst xmlns="http://schemas.openxmlformats.org/spreadsheetml/2006/main" count="442" uniqueCount="336">
  <si>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</si>
  <si>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</si>
  <si>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</si>
  <si>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</si>
  <si>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Basic operating entity; no optimisation, payroll setup, registrations, authority case work or RBO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</si>
  <si>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</si>
  <si>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</si>
  <si>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</si>
  <si>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</si>
  <si>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</si>
  <si>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</si>
  <si>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</si>
  <si>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</si>
  <si>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</si>
  <si>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</si>
  <si>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</si>
  <si>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</si>
  <si>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</si>
  <si>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</si>
  <si>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</si>
  <si>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</si>
  <si>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</si>
  <si>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</si>
  <si>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</si>
  <si>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</si>
  <si>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</si>
  <si>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</si>
  <si>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</si>
  <si>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</si>
  <si>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</si>
  <si>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</si>
  <si>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</si>
  <si>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</si>
  <si>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</si>
  <si>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</si>
  <si>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</si>
  <si>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</si>
  <si>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</si>
  <si>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</si>
  <si>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</si>
  <si>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</si>
  <si>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</si>
  <si>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</si>
  <si>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</si>
  <si>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</si>
  <si>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</si>
  <si>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</si>
  <si>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</si>
  <si>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</si>
  <si>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</si>
  <si>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</si>
  <si>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</si>
  <si>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</si>
  <si>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</si>
  <si>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</si>
  <si>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</si>
  <si>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</si>
  <si>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</si>
  <si>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</si>
  <si>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</si>
  <si>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</si>
  <si>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</si>
  <si>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</si>
  <si>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</si>
  <si>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</si>
  <si>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</si>
  <si>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</si>
  <si>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</si>
  <si>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</si>
  <si>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</si>
  <si>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</si>
  <si>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</si>
  <si>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</si>
  <si>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</si>
  <si>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</si>
  <si>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</si>
  <si>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</si>
  <si>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</si>
  <si>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</si>
  <si>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</si>
  <si>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</si>
  <si>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</si>
  <si>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</si>
  <si>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</si>
  <si>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</si>
  <si>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</si>
  <si>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</si>
  <si>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</si>
  <si>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</si>
  <si>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</si>
  <si>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</si>
  <si>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</si>
  <si>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</si>
  <si>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</si>
  <si>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</si>
  <si>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</si>
  <si>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</si>
  <si>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</si>
  <si>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</si>
  <si>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</si>
  <si>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</si>
  <si>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</si>
  <si>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</si>
  <si>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</si>
  <si>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</si>
  <si>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</si>
  <si>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</si>
  <si>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</si>
  <si>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</si>
  <si>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</si>
  <si>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</si>
  <si>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</si>
  <si>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</si>
  <si>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</si>
  <si>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</si>
  <si>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</si>
  <si>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</si>
  <si>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</si>
  <si>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</si>
  <si>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</si>
  <si>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</si>
  <si>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</si>
  <si>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</si>
  <si>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</si>
  <si>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</si>
  <si>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</si>
  <si>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</si>
  <si>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</si>
  <si>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</si>
  <si>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</si>
  <si>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</si>
  <si>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</si>
  <si>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</si>
  <si>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</si>
  <si>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</si>
  <si>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</si>
  <si>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</si>
  <si>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</si>
  <si>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</si>
  <si>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</si>
  <si>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</si>
  <si>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</si>
  <si>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</si>
  <si>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</si>
  <si>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</si>
  <si>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</si>
  <si>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</si>
  <si>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</si>
  <si>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</si>
  <si>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</si>
  <si>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</si>
  <si>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</si>
  <si>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</si>
  <si>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software/calendar setup, payroll, employer/local registrations, tax payment/correspondence/fine resolution, RBO,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</si>
  <si>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</si>
  <si>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</si>
  <si>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</si>
  <si>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</si>
  <si>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</si>
  <si>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</si>
  <si>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</si>
  <si>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Annual surcharge shown as separate line in Option 3 for pension reserve planning plus recurring reserve accounting/year-end support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</si>
  <si>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</si>
  <si>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</si>
  <si>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</si>
  <si>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</si>
  <si>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</si>
  <si>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Option 1 - Basic operating entity</t>
  </si>
  <si>
    <t>Basic operating entity review only; excludes software/calendar setup, payroll, registrations, tax payment/correspondence/fine resolution, RBO, and investment/car/pension optimisation</t>
  </si>
  <si>
    <t>1000 plus employee surcharge</t>
  </si>
  <si>
    <t>Office rent, business travel, eligible expenses, car depreciation, investment/startup shareholding planning and execution where selected, and recurring accounting uplift; pension reserve excluded</t>
  </si>
  <si>
    <t>1000 plus pension surcharge plus employee surcharge if applicable</t>
  </si>
  <si>
    <t>Option 2 scope plus pension reserve planning and annual reserve accounting/year-end support</t>
  </si>
  <si>
    <t>1000 plus dual tax jurisdiction and discounted director surcharge plus employee surcharge if applicable</t>
  </si>
  <si>
    <t>Option 2 scope for an IE tax resident company, including RBO/VIF where applicable;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</si>
  <si>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</si>
  <si>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</si>
  <si>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</si>
  <si>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</si>
  <si>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</si>
  <si>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</si>
  <si>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</si>
  <si>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</si>
  <si>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</si>
  <si>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</si>
  <si>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</si>
  <si>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</si>
  <si>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</si>
  <si>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</si>
  <si>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</si>
  <si>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</si>
  <si>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</si>
  <si>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</si>
  <si>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</si>
  <si>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</si>
  <si>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</si>
  <si>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</si>
  <si>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</si>
  <si>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</si>
  <si>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</si>
  <si>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</si>
  <si>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</si>
  <si>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</si>
  <si>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</si>
  <si>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</si>
  <si>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</si>
  <si>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</si>
  <si>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</si>
  <si>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</si>
  <si>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</si>
  <si>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Services checklist</t>
  </si>
  <si>
    <t>RB option fee</t>
  </si>
  <si>
    <t>Standalone DE market value checked - low</t>
  </si>
  <si>
    <t>Standalone DE market value checked - mid</t>
  </si>
  <si>
    <t>Status: provisional. Source: RB service-list work, user corrections, ELSTER official filing-form list, CRO/RBO filing guidance, and public pricing/statutory references checked 2026-06-15. Low/mid estimates include advisory support plus third-party software, filing, payment administration, execution support and recurring accounting uplift where relevant; review before client reliance.</t>
  </si>
  <si>
    <t>Service</t>
  </si>
  <si>
    <t>Low-end DE estimate</t>
  </si>
  <si>
    <t>Mid-end DE estimate</t>
  </si>
  <si>
    <t>Timing</t>
  </si>
  <si>
    <t>Basis / cost components</t>
  </si>
  <si>
    <t>Linked explanation</t>
  </si>
  <si>
    <t>RB / client discussion point</t>
  </si>
  <si>
    <t>Basic operating entity review</t>
  </si>
  <si>
    <t>One-off</t>
  </si>
  <si>
    <t>Initial entity and accounting review; low uses public tax-advice plus basic support, mid includes deeper bookkeeping/accounting scoping</t>
  </si>
  <si>
    <t>Confirm entity status quo, previous accounting fee, current accountant, and whether the entity is already operational</t>
  </si>
  <si>
    <t>Company incorporation and compliance approval</t>
  </si>
  <si>
    <t>One-off incorporation/compliance support estimate; public documents/legal review plus accounting setup oversight</t>
  </si>
  <si>
    <t>Review whether a new company or operating entity approval is needed before using the template</t>
  </si>
  <si>
    <t>Client records, document intake and onboarding handover</t>
  </si>
  <si>
    <t>One-off intake estimate for source documents, records, opening balances, access, and handover into recurring operations</t>
  </si>
  <si>
    <t>Collect contracts, prior filings, bank records, payroll records, authority letters, and current fee data</t>
  </si>
  <si>
    <t>Monthly bookkeeping/accounting package</t>
  </si>
  <si>
    <t>Annual</t>
  </si>
  <si>
    <t>Recurring accounting package; low uses 99/month plus DATEV 15/month, mid uses 169/month plus DATEV 15/month</t>
  </si>
  <si>
    <t>Bookkeeping is a recurring operating service, not a one-off advisory line</t>
  </si>
  <si>
    <t>Bookkeeping software setup and filing calendar setup</t>
  </si>
  <si>
    <t>One-off setup</t>
  </si>
  <si>
    <t>Software setup, chart of accounts, filing calendar, access permissions, and recurring tool configuration; excludes monthly bookkeeping above</t>
  </si>
  <si>
    <t>Make the operating calendar and software stack explicit before the client chooses the option</t>
  </si>
  <si>
    <t>VAT compliance / quarterly VAT filings</t>
  </si>
  <si>
    <t>Quarterly + annual</t>
  </si>
  <si>
    <t>Quarterly VAT pre-returns (monthly where required), annual VAT return, filing-software/transmission setup, deadline/payment tracking and evidence retention</t>
  </si>
  <si>
    <t>VAT estimate includes quarterly pre-returns and annual VAT return, not only year-end filing</t>
  </si>
  <si>
    <t>Annual accounts, e-Bilanz and corporate/trade tax filings</t>
  </si>
  <si>
    <t>Annual accounts, disclosure/filing, e-Bilanz transmission, corporate tax return and trade tax return; VAT filings are costed in the VAT row</t>
  </si>
  <si>
    <t>Annual filing scope should cover accounts, e-Bilanz, corporation tax and trade tax; VAT is shown separately</t>
  </si>
  <si>
    <t>Payroll for one employee</t>
  </si>
  <si>
    <t>Monthly / annual</t>
  </si>
  <si>
    <t>Monthly payroll calculations, payslips, wage-tax/social filings, net salary payment, wage-tax payment, social-charge payment coordination/execution, payroll software and evidence capture</t>
  </si>
  <si>
    <t>Yes: payroll service should include making the net salary, wage-tax and social-insurance payments on time, not just producing payslips</t>
  </si>
  <si>
    <t>Payroll setup, retroactive payslips and filings</t>
  </si>
  <si>
    <t>One-off / catch-up</t>
  </si>
  <si>
    <t>Setup or correction project for payroll history, retroactive payslips, registrations, filings and payment reconciliation</t>
  </si>
  <si>
    <t>Use when payroll history or late setup needs correction before monthly operation is clean</t>
  </si>
  <si>
    <t>Office rent / company-address optimisation</t>
  </si>
  <si>
    <t>Annual recurring</t>
  </si>
  <si>
    <t>Advisory plus benchmark analysis, company/person rent contract, and recurring monthly rent payment administration</t>
  </si>
  <si>
    <t>Advise, benchmark the office rent, prepare the contract, and pay the rent every month as agreed</t>
  </si>
  <si>
    <t>Business travel and expense policy optimisation</t>
  </si>
  <si>
    <t>Recurring travel policy, per diem calculation, receipt review, reimbursement calculation, company payment, and evidence tracking</t>
  </si>
  <si>
    <t>Help the client organise correctly, calculate per diem amounts, track expenses, and reimburse from the company</t>
  </si>
  <si>
    <t>AP/AR (invoice generation, expense payment, chasing, logging)</t>
  </si>
  <si>
    <t>Recurring invoice generation, expense payment, chasing, logging and evidence matching; includes bookkeeping/payment software component</t>
  </si>
  <si>
    <t>Operate invoices, supplier payments, client chasing and evidence logs instead of only advising once</t>
  </si>
  <si>
    <t>Tax prepayments and tax payments tracking</t>
  </si>
  <si>
    <t>Recurring tracking of tax prepayment notices, payment due dates, cash planning, executing payments, and storing payment evidence</t>
  </si>
  <si>
    <t>Actively track and pay tax prepayments; this is ongoing company-order work, not a one-off log</t>
  </si>
  <si>
    <t>Tax registration, letters and Finanzamt correspondence</t>
  </si>
  <si>
    <t>Recurring registration management plus active reading, classification and actioning of tax letters, deadlines, objections and notices</t>
  </si>
  <si>
    <t>Read tax letters, respond where needed, and keep the company in order before penalties arise</t>
  </si>
  <si>
    <t>Authority, health insurer and penalty/fine resolution</t>
  </si>
  <si>
    <t>Case-based</t>
  </si>
  <si>
    <t>Active case management: calls, letters, objections, escalation and chasing with Finanzamt, health insurers, payroll/social bodies and fine issuers</t>
  </si>
  <si>
    <t>Call Finanzamt and health insurers, fight fines, and keep issue ownership until resolved</t>
  </si>
  <si>
    <t>Car purchase / depreciation planning and annual accounting</t>
  </si>
  <si>
    <t>One-off + annual</t>
  </si>
  <si>
    <t>Car purchase/depreciation planning plus annual fixed-asset register, depreciation postings, private-use/accounting reconciliation and year-end tax support; vehicle cost excluded</t>
  </si>
  <si>
    <t>Include both the decision/planning work and the recurring depreciation accounting uplift</t>
  </si>
  <si>
    <t>Investment / retained-profit and startup shareholding planning</t>
  </si>
  <si>
    <t>Planning + annual accounting</t>
  </si>
  <si>
    <t>Planning and annual investment/accounting support only; execution of startup shareholding transfers is costed separately in the startup transfer execution row; investment-management fees excluded</t>
  </si>
  <si>
    <t>Do not treat this as execution; use the separate startup shareholding transfer execution row for agreements, filings, VIF/RBO and notary coordination</t>
  </si>
  <si>
    <t>Investment account setup</t>
  </si>
  <si>
    <t>Administrative setup estimate for investment account documents, evidence, accounting treatment and source-record workflow; recurring investment accounting is captured in the investment planning row</t>
  </si>
  <si>
    <t>Set up the account/evidence workflow; do not treat this as the full recurring investment-accounting cost</t>
  </si>
  <si>
    <t>Pension reserve planning and annual accounting</t>
  </si>
  <si>
    <t>Pension reserve analysis plus recurring annual accounting, documentation, reserve movement review and year-end tax support; reflected as RB pension surcharge in option 3 but standalone DE estimate includes annual uplift</t>
  </si>
  <si>
    <t>Planning is not enough; pension reserve creates recurring accounting/year-end work</t>
  </si>
  <si>
    <t>Dual tax jurisdiction / IE-DE tax residence review</t>
  </si>
  <si>
    <t>One-off review</t>
  </si>
  <si>
    <t>Cross-border tax-residence review and dual-jurisdiction coordination estimate; excludes actual director service below</t>
  </si>
  <si>
    <t>Use for IE tax residence structures, not because a person is IE resident</t>
  </si>
  <si>
    <t>Director fee planning / director-service structuring and board governance</t>
  </si>
  <si>
    <t>Recurring actual director service plus board governance, board meetings, minutes, statutory decisions and keeping the company in order</t>
  </si>
  <si>
    <t>This is an actual director required to operate governance and board meetings, not just fee advice</t>
  </si>
  <si>
    <t>Employer number, accident insurance and VBG registrations</t>
  </si>
  <si>
    <t>Employer-number and statutory employer registration support, accident-insurance/VBG routing, and recurring records handover into payroll</t>
  </si>
  <si>
    <t>Handle employer registrations and keep the payroll compliance file current</t>
  </si>
  <si>
    <t>Local business registration (Gewerbeanmeldung)</t>
  </si>
  <si>
    <t>Public fee plus support estimate; Berlin reference shows 31 legal-person filing fee, added to 250/500 support estimate</t>
  </si>
  <si>
    <t>Handle local business registration where required and keep registration evidence in the file</t>
  </si>
  <si>
    <t>Bank account setup</t>
  </si>
  <si>
    <t>Administrative setup estimate for bank account opening, access, evidence, mandate and accounting workflow; bank fees not included</t>
  </si>
  <si>
    <t>Support bank-account setup and capture records for accounting and payments</t>
  </si>
  <si>
    <t>Service agreement contracts with client customers</t>
  </si>
  <si>
    <t>One-off / contract</t>
  </si>
  <si>
    <t>Contract preparation/review support estimate for customer service agreements and accounting/legal alignment</t>
  </si>
  <si>
    <t>Prepare or review service agreements between the company and its customers</t>
  </si>
  <si>
    <t>Employment contract changes</t>
  </si>
  <si>
    <t>One-off / change</t>
  </si>
  <si>
    <t>Employment/director contract change support plus payroll/accounting alignment and recurring payroll handover</t>
  </si>
  <si>
    <t>Change employment or director contracts and align payroll/accounting treatment</t>
  </si>
  <si>
    <t>Startup shareholding transfer execution, filings and notary coordination</t>
  </si>
  <si>
    <t>One-off execution + filings</t>
  </si>
  <si>
    <t>Execution after planning: transfer/subscription agreements, valuation/evidence pack, shareholder/company approvals, cap-table/share-capital updates, CRO/Companies Register or equivalent filings, Revenue share-transfer/stamp-duty process, RBO/VIF updates and notary coordination where required; external notary/statutory fees excluded unless paid through RB</t>
  </si>
  <si>
    <t>This is the execution cost missing from the planning row; use after the client chooses the investment/startup shareholding route</t>
  </si>
  <si>
    <t>RBO / beneficial-owner filing plus VIF/IPN where applicable</t>
  </si>
  <si>
    <t>Event-based + annual monitoring</t>
  </si>
  <si>
    <t>RBO filing after VIF/IPN where a beneficial owner has no Irish PPSN; includes VIF pack, notary/witness coordination, RBO filing, annual/trigger-event monitoring and evidence capture; external notary/statutory fees excluded unless paid through RB</t>
  </si>
  <si>
    <t>Include from option 2 onwards only; for foreign individuals, plan the VIF/IPN and notary/witness step before the RBO filing</t>
  </si>
  <si>
    <t>Personal tax bookkeeping and filing add-on</t>
  </si>
  <si>
    <t>Optional annual</t>
  </si>
  <si>
    <t>Optional annual personal tax bookkeeping and filing estimate; separate from company operating entity services</t>
  </si>
  <si>
    <t>Optional personal tax support outside the core company option fee</t>
  </si>
  <si>
    <t>Parental leave planning</t>
  </si>
  <si>
    <t>Optional planning</t>
  </si>
  <si>
    <t>Optional planning estimate for parental leave, owner salary timing, payroll impact and benefit timing</t>
  </si>
  <si>
    <t>Optional planning for parental leave and owner salary timing</t>
  </si>
  <si>
    <t>Client forecast and life-change planning</t>
  </si>
  <si>
    <t>Annual / event-based</t>
  </si>
  <si>
    <t>Recurring annual or event-driven forecast updates after life/business changes; support estimate based on tax/accounting advisory time</t>
  </si>
  <si>
    <t>Refresh the client forecast for the new year and after material life or business changes</t>
  </si>
  <si>
    <t>Client calls, inbounds and periodic updates</t>
  </si>
  <si>
    <t>Recurring client calls, inbound messages, meeting notes, monthly or quarterly updates, and task ownership</t>
  </si>
  <si>
    <t>Handle client calls, inbound messages, meeting notes and periodic updates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</si>
</sst>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€#,##0"/>
  </numFmts>
  <fonts count="21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b/>
      <sz val="14.0"/>
      <color rgb="FFFFFFFF"/>
      <name val="Roboto"/>
    </font>
    <font>
      <b/>
      <sz val="10.0"/>
      <color theme="1"/>
      <name val="Roboto"/>
    </font>
    <font>
      <sz val="10.0"/>
      <color rgb="FF1E1E1E"/>
      <name val="Roboto"/>
    </font>
    <font>
      <i/>
      <sz val="9.0"/>
      <color rgb="FF3F3F3F"/>
      <name val="Roboto"/>
    </font>
    <font>
      <b/>
      <sz val="10.0"/>
      <color rgb="FFFFFFFF"/>
      <name val="Roboto"/>
    </font>
    <font>
      <u/>
      <sz val="10.0"/>
      <color rgb="FF1E1E1E"/>
      <name val="Roboto"/>
    </font>
    <font>
      <u/>
      <sz val="10.0"/>
      <color rgb="FF1E1E1E"/>
      <name val="Roboto"/>
    </font>
    <font>
      <u/>
      <sz val="10.0"/>
      <color rgb="FF1E1E1E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6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  <border>
      <left style="thin">
        <color rgb="FFBFBFBF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BFBFBF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BFBFBF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2" fontId="13" numFmtId="0" xfId="0" applyAlignment="1" applyFont="1">
      <alignment horizontal="left"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3" fontId="14" numFmtId="169" xfId="0" applyAlignment="1" applyFont="1" applyNumberFormat="1">
      <alignment horizontal="center" shrinkToFit="0" vertical="center" wrapText="0"/>
    </xf>
    <xf borderId="0" fillId="8" fontId="15" numFmtId="0" xfId="0" applyAlignment="1" applyFont="1">
      <alignment shrinkToFit="0" vertical="center" wrapText="0"/>
    </xf>
    <xf borderId="0" fillId="3" fontId="14" numFmtId="169" xfId="0" applyAlignment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3" fontId="16" numFmtId="0" xfId="0" applyAlignment="1" applyFont="1">
      <alignment readingOrder="0" shrinkToFit="0" vertical="center" wrapText="1"/>
    </xf>
    <xf borderId="17" fillId="8" fontId="15" numFmtId="0" xfId="0" applyAlignment="1" applyBorder="1" applyFont="1">
      <alignment horizontal="center" readingOrder="0" shrinkToFit="0" vertical="center" wrapText="0"/>
    </xf>
    <xf borderId="18" fillId="8" fontId="15" numFmtId="0" xfId="0" applyAlignment="1" applyBorder="1" applyFont="1">
      <alignment horizontal="center" readingOrder="0" shrinkToFit="0" vertical="center" wrapText="0"/>
    </xf>
    <xf borderId="19" fillId="8" fontId="15" numFmtId="0" xfId="0" applyAlignment="1" applyBorder="1" applyFont="1">
      <alignment horizontal="center" readingOrder="0" shrinkToFit="0" vertical="center" wrapText="0"/>
    </xf>
    <xf borderId="20" fillId="4" fontId="17" numFmtId="0" xfId="0" applyAlignment="1" applyBorder="1" applyFont="1">
      <alignment horizontal="center" readingOrder="0" shrinkToFit="0" vertical="center" wrapText="1"/>
    </xf>
    <xf borderId="21" fillId="4" fontId="17" numFmtId="0" xfId="0" applyAlignment="1" applyBorder="1" applyFont="1">
      <alignment horizontal="center" readingOrder="0" shrinkToFit="0" vertical="center" wrapText="1"/>
    </xf>
    <xf borderId="21" fillId="4" fontId="17" numFmtId="169" xfId="0" applyAlignment="1" applyBorder="1" applyFont="1" applyNumberFormat="1">
      <alignment horizontal="center" readingOrder="0" shrinkToFit="0" vertical="center" wrapText="1"/>
    </xf>
    <xf borderId="22" fillId="4" fontId="17" numFmtId="0" xfId="0" applyAlignment="1" applyBorder="1" applyFont="1">
      <alignment horizontal="center" readingOrder="0" shrinkToFit="0" vertical="center" wrapText="1"/>
    </xf>
    <xf borderId="20" fillId="8" fontId="15" numFmtId="0" xfId="0" applyAlignment="1" applyBorder="1" applyFont="1">
      <alignment readingOrder="0" shrinkToFit="0" vertical="center" wrapText="1"/>
    </xf>
    <xf borderId="21" fillId="8" fontId="15" numFmtId="0" xfId="0" applyAlignment="1" applyBorder="1" applyFont="1">
      <alignment horizontal="center" readingOrder="0" shrinkToFit="0" vertical="center" wrapText="0"/>
    </xf>
    <xf borderId="21" fillId="8" fontId="15" numFmtId="169" xfId="0" applyAlignment="1" applyBorder="1" applyFont="1" applyNumberFormat="1">
      <alignment horizontal="right" readingOrder="0" shrinkToFit="0" vertical="center" wrapText="0"/>
    </xf>
    <xf borderId="21" fillId="8" fontId="15" numFmtId="169" xfId="0" applyAlignment="1" applyBorder="1" applyFont="1" applyNumberFormat="1">
      <alignment readingOrder="0" shrinkToFit="0" vertical="center" wrapText="0"/>
    </xf>
    <xf borderId="21" fillId="8" fontId="15" numFmtId="49" xfId="0" applyAlignment="1" applyBorder="1" applyFont="1" applyNumberFormat="1">
      <alignment readingOrder="0" shrinkToFit="0" vertical="center" wrapText="0"/>
    </xf>
    <xf borderId="21" fillId="8" fontId="15" numFmtId="0" xfId="0" applyAlignment="1" applyBorder="1" applyFont="1">
      <alignment readingOrder="0" shrinkToFit="0" vertical="center" wrapText="0"/>
    </xf>
    <xf borderId="21" fillId="8" fontId="18" numFmtId="0" xfId="0" applyAlignment="1" applyBorder="1" applyFont="1">
      <alignment readingOrder="0" shrinkToFit="0" vertical="center" wrapText="0"/>
    </xf>
    <xf borderId="22" fillId="8" fontId="15" numFmtId="0" xfId="0" applyAlignment="1" applyBorder="1" applyFont="1">
      <alignment readingOrder="0" shrinkToFit="0" vertical="center" wrapText="0"/>
    </xf>
    <xf borderId="23" fillId="8" fontId="15" numFmtId="0" xfId="0" applyAlignment="1" applyBorder="1" applyFont="1">
      <alignment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0"/>
    </xf>
    <xf borderId="24" fillId="8" fontId="15" numFmtId="169" xfId="0" applyAlignment="1" applyBorder="1" applyFont="1" applyNumberFormat="1">
      <alignment horizontal="right" readingOrder="0" shrinkToFit="0" vertical="center" wrapText="0"/>
    </xf>
    <xf borderId="24" fillId="8" fontId="15" numFmtId="169" xfId="0" applyAlignment="1" applyBorder="1" applyFont="1" applyNumberFormat="1">
      <alignment readingOrder="0" shrinkToFit="0" vertical="center" wrapText="0"/>
    </xf>
    <xf borderId="24" fillId="8" fontId="15" numFmtId="49" xfId="0" applyAlignment="1" applyBorder="1" applyFont="1" applyNumberFormat="1">
      <alignment readingOrder="0" shrinkToFit="0" vertical="center" wrapText="0"/>
    </xf>
    <xf borderId="24" fillId="8" fontId="15" numFmtId="0" xfId="0" applyAlignment="1" applyBorder="1" applyFont="1">
      <alignment readingOrder="0" shrinkToFit="0" vertical="center" wrapText="0"/>
    </xf>
    <xf borderId="24" fillId="8" fontId="19" numFmtId="0" xfId="0" applyAlignment="1" applyBorder="1" applyFont="1">
      <alignment readingOrder="0" shrinkToFit="0" vertical="center" wrapText="0"/>
    </xf>
    <xf borderId="25" fillId="8" fontId="15" numFmtId="0" xfId="0" applyAlignment="1" applyBorder="1" applyFont="1">
      <alignment readingOrder="0" shrinkToFit="0" vertical="center" wrapText="0"/>
    </xf>
    <xf borderId="0" fillId="8" fontId="15" numFmtId="0" xfId="0" applyAlignment="1" applyFont="1">
      <alignment readingOrder="0" shrinkToFit="0" vertical="center" wrapText="1"/>
    </xf>
    <xf borderId="0" fillId="8" fontId="15" numFmtId="169" xfId="0" applyAlignment="1" applyFont="1" applyNumberFormat="1">
      <alignment readingOrder="0"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8" fontId="20" numFmtId="0" xfId="0" applyAlignment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2.63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167</v>
      </c>
      <c r="B61" s="52">
        <v>500.0</v>
      </c>
      <c r="C61" s="52" t="s">
        <v>111</v>
      </c>
      <c r="D61" s="52" t="s">
        <v>168</v>
      </c>
    </row>
    <row r="62" ht="43.5" customHeight="1">
      <c r="A62" s="52" t="s">
        <v>5</v>
      </c>
      <c r="B62" s="52" t="s">
        <v>169</v>
      </c>
      <c r="C62" s="52" t="s">
        <v>111</v>
      </c>
      <c r="D62" s="52" t="s">
        <v>170</v>
      </c>
    </row>
    <row r="63" ht="43.5" customHeight="1">
      <c r="A63" s="52" t="s">
        <v>6</v>
      </c>
      <c r="B63" s="52" t="s">
        <v>171</v>
      </c>
      <c r="C63" s="52" t="s">
        <v>111</v>
      </c>
      <c r="D63" s="52" t="s">
        <v>172</v>
      </c>
    </row>
    <row r="64" ht="16.5" customHeight="1">
      <c r="A64" s="52" t="s">
        <v>7</v>
      </c>
      <c r="B64" s="55" t="s">
        <v>173</v>
      </c>
      <c r="C64" s="54" t="s">
        <v>111</v>
      </c>
      <c r="D64" s="54" t="s">
        <v>174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175</v>
      </c>
    </row>
    <row r="2" ht="31.5" customHeight="1">
      <c r="A2" s="2" t="s">
        <v>176</v>
      </c>
    </row>
    <row r="3" ht="16.5" customHeight="1">
      <c r="A3" s="96" t="s">
        <v>177</v>
      </c>
      <c r="B3" s="97" t="str">
        <f>Assumptions!$B$8</f>
        <v>Client choice pending</v>
      </c>
    </row>
    <row r="4" ht="16.5" customHeight="1">
      <c r="A4" s="96" t="s">
        <v>178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179</v>
      </c>
      <c r="B6" s="3" t="s">
        <v>180</v>
      </c>
      <c r="C6" s="3" t="s">
        <v>181</v>
      </c>
      <c r="D6" s="3" t="s">
        <v>182</v>
      </c>
      <c r="E6" s="3" t="s">
        <v>183</v>
      </c>
      <c r="F6" s="3" t="s">
        <v>184</v>
      </c>
      <c r="G6" s="3" t="s">
        <v>185</v>
      </c>
      <c r="H6" s="3" t="s">
        <v>186</v>
      </c>
      <c r="I6" s="3" t="s">
        <v>187</v>
      </c>
      <c r="J6" s="3" t="s">
        <v>188</v>
      </c>
      <c r="K6" s="3" t="s">
        <v>189</v>
      </c>
      <c r="L6" s="3" t="s">
        <v>190</v>
      </c>
      <c r="M6" s="3" t="s">
        <v>191</v>
      </c>
      <c r="N6" s="3" t="s">
        <v>192</v>
      </c>
    </row>
    <row r="7" ht="16.5" customHeight="1">
      <c r="A7" s="11" t="s">
        <v>193</v>
      </c>
      <c r="B7" s="11" t="s">
        <v>194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195</v>
      </c>
      <c r="B8" s="99" t="s">
        <v>196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197</v>
      </c>
      <c r="B9" s="101" t="s">
        <v>198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199</v>
      </c>
      <c r="B10" s="99" t="s">
        <v>177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200</v>
      </c>
      <c r="B11" s="101" t="s">
        <v>177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201</v>
      </c>
      <c r="B12" s="101" t="s">
        <v>177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177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202</v>
      </c>
      <c r="B14" s="101" t="s">
        <v>177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203</v>
      </c>
      <c r="B15" s="101" t="s">
        <v>177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204</v>
      </c>
      <c r="B17" s="101" t="s">
        <v>205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206</v>
      </c>
      <c r="B18" s="103" t="s">
        <v>207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208</v>
      </c>
      <c r="B19" s="103" t="s">
        <v>205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209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33.88"/>
    <col customWidth="1" min="2" max="5" width="15.13"/>
    <col customWidth="1" min="6" max="7" width="15.75"/>
    <col customWidth="1" min="8" max="8" width="14.5"/>
    <col customWidth="1" min="9" max="9" width="30.75"/>
    <col customWidth="1" min="10" max="10" width="45.13"/>
    <col customWidth="1" min="11" max="11" width="57.63"/>
  </cols>
  <sheetData>
    <row r="1" ht="27.0" customHeight="1">
      <c r="A1" s="105" t="s">
        <v>210</v>
      </c>
    </row>
    <row r="2">
      <c r="A2" s="106" t="s">
        <v>211</v>
      </c>
      <c r="B2" s="107">
        <f>'Savings comparison'!C19</f>
        <v>500</v>
      </c>
      <c r="C2" s="107">
        <f>'Savings comparison'!D19</f>
        <v>1000</v>
      </c>
      <c r="D2" s="107">
        <f>'Savings comparison'!E19</f>
        <v>1200</v>
      </c>
      <c r="E2" s="107">
        <f>'Savings comparison'!F19</f>
        <v>1600</v>
      </c>
      <c r="F2" s="108"/>
      <c r="G2" s="108"/>
      <c r="H2" s="108"/>
      <c r="I2" s="108"/>
      <c r="J2" s="108"/>
      <c r="K2" s="108"/>
    </row>
    <row r="3">
      <c r="A3" s="106" t="s">
        <v>212</v>
      </c>
      <c r="B3" s="107">
        <f t="shared" ref="B3:E3" si="1">SUMIF(B8:B39,TRUE,$F$8:$F$39)</f>
        <v>6092</v>
      </c>
      <c r="C3" s="107">
        <f t="shared" si="1"/>
        <v>21348</v>
      </c>
      <c r="D3" s="107">
        <f t="shared" si="1"/>
        <v>22248</v>
      </c>
      <c r="E3" s="107">
        <f t="shared" si="1"/>
        <v>25348</v>
      </c>
      <c r="F3" s="108"/>
      <c r="G3" s="108"/>
      <c r="H3" s="108"/>
      <c r="I3" s="108"/>
      <c r="J3" s="108"/>
      <c r="K3" s="108"/>
    </row>
    <row r="4">
      <c r="A4" s="106" t="s">
        <v>213</v>
      </c>
      <c r="B4" s="109">
        <f t="shared" ref="B4:E4" si="2">SUMIF(B8:B39,TRUE,$G$8:$G$39)</f>
        <v>10531</v>
      </c>
      <c r="C4" s="109">
        <f t="shared" si="2"/>
        <v>41165</v>
      </c>
      <c r="D4" s="109">
        <f t="shared" si="2"/>
        <v>42965</v>
      </c>
      <c r="E4" s="109">
        <f t="shared" si="2"/>
        <v>49165</v>
      </c>
      <c r="F4" s="110"/>
      <c r="G4" s="110"/>
      <c r="H4" s="110"/>
      <c r="I4" s="110"/>
      <c r="J4" s="110"/>
      <c r="K4" s="110"/>
    </row>
    <row r="5">
      <c r="A5" s="111" t="s">
        <v>214</v>
      </c>
    </row>
    <row r="6" ht="42.0" customHeight="1">
      <c r="A6" s="112"/>
      <c r="B6" s="113"/>
      <c r="C6" s="113"/>
      <c r="D6" s="113"/>
      <c r="E6" s="113"/>
      <c r="F6" s="113"/>
      <c r="G6" s="113"/>
      <c r="H6" s="113"/>
      <c r="I6" s="113"/>
      <c r="J6" s="113"/>
      <c r="K6" s="114"/>
    </row>
    <row r="7" ht="37.5" customHeight="1">
      <c r="A7" s="115" t="s">
        <v>215</v>
      </c>
      <c r="B7" s="116" t="s">
        <v>167</v>
      </c>
      <c r="C7" s="116" t="s">
        <v>5</v>
      </c>
      <c r="D7" s="116" t="s">
        <v>6</v>
      </c>
      <c r="E7" s="116" t="s">
        <v>7</v>
      </c>
      <c r="F7" s="117" t="s">
        <v>216</v>
      </c>
      <c r="G7" s="116" t="s">
        <v>217</v>
      </c>
      <c r="H7" s="116" t="s">
        <v>218</v>
      </c>
      <c r="I7" s="116" t="s">
        <v>219</v>
      </c>
      <c r="J7" s="116" t="s">
        <v>220</v>
      </c>
      <c r="K7" s="118" t="s">
        <v>221</v>
      </c>
    </row>
    <row r="8" ht="31.5" customHeight="1">
      <c r="A8" s="119" t="s">
        <v>222</v>
      </c>
      <c r="B8" s="120" t="b">
        <v>1</v>
      </c>
      <c r="C8" s="120" t="b">
        <v>1</v>
      </c>
      <c r="D8" s="120" t="b">
        <v>1</v>
      </c>
      <c r="E8" s="120" t="b">
        <v>1</v>
      </c>
      <c r="F8" s="121">
        <v>824.0</v>
      </c>
      <c r="G8" s="122">
        <v>1223.0</v>
      </c>
      <c r="H8" s="123" t="s">
        <v>223</v>
      </c>
      <c r="I8" s="124" t="s">
        <v>224</v>
      </c>
      <c r="J8" s="125" t="str">
        <f>HYPERLINK("https://www.firma.de/beratung-steuerberater/","firma.de tax-advice benchmark plus professional-support estimate")</f>
        <v>firma.de tax-advice benchmark plus professional-support estimate</v>
      </c>
      <c r="K8" s="126" t="s">
        <v>225</v>
      </c>
    </row>
    <row r="9" ht="31.5" customHeight="1">
      <c r="A9" s="119" t="s">
        <v>226</v>
      </c>
      <c r="B9" s="120" t="b">
        <v>1</v>
      </c>
      <c r="C9" s="120" t="b">
        <v>1</v>
      </c>
      <c r="D9" s="120" t="b">
        <v>1</v>
      </c>
      <c r="E9" s="120" t="b">
        <v>1</v>
      </c>
      <c r="F9" s="121">
        <v>900.0</v>
      </c>
      <c r="G9" s="122">
        <v>1500.0</v>
      </c>
      <c r="H9" s="123" t="s">
        <v>223</v>
      </c>
      <c r="I9" s="124" t="s">
        <v>227</v>
      </c>
      <c r="J9" s="125" t="str">
        <f>HYPERLINK("https://www.firma.de/satzung/","firma.de company-document benchmark plus incorporation support estimate")</f>
        <v>firma.de company-document benchmark plus incorporation support estimate</v>
      </c>
      <c r="K9" s="126" t="s">
        <v>228</v>
      </c>
    </row>
    <row r="10" ht="31.5" customHeight="1">
      <c r="A10" s="119" t="s">
        <v>229</v>
      </c>
      <c r="B10" s="120" t="b">
        <v>1</v>
      </c>
      <c r="C10" s="120" t="b">
        <v>1</v>
      </c>
      <c r="D10" s="120" t="b">
        <v>1</v>
      </c>
      <c r="E10" s="120" t="b">
        <v>1</v>
      </c>
      <c r="F10" s="121">
        <v>300.0</v>
      </c>
      <c r="G10" s="122">
        <v>600.0</v>
      </c>
      <c r="H10" s="123" t="s">
        <v>223</v>
      </c>
      <c r="I10" s="124" t="s">
        <v>230</v>
      </c>
      <c r="J10" s="125" t="str">
        <f>HYPERLINK("https://www.gesetze-im-internet.de/stbgebv/BJNR014420981.html","StBVV-style time-fee benchmark for document intake and admin support")</f>
        <v>StBVV-style time-fee benchmark for document intake and admin support</v>
      </c>
      <c r="K10" s="126" t="s">
        <v>231</v>
      </c>
    </row>
    <row r="11" ht="31.5" customHeight="1">
      <c r="A11" s="119" t="s">
        <v>232</v>
      </c>
      <c r="B11" s="120" t="b">
        <v>1</v>
      </c>
      <c r="C11" s="120" t="b">
        <v>1</v>
      </c>
      <c r="D11" s="120" t="b">
        <v>1</v>
      </c>
      <c r="E11" s="120" t="b">
        <v>1</v>
      </c>
      <c r="F11" s="121">
        <v>1368.0</v>
      </c>
      <c r="G11" s="122">
        <v>2208.0</v>
      </c>
      <c r="H11" s="123" t="s">
        <v>233</v>
      </c>
      <c r="I11" s="124" t="s">
        <v>234</v>
      </c>
      <c r="J11" s="125" t="str">
        <f>HYPERLINK("https://www.firma.de/buchhaltung/","firma.de bookkeeping package prices including DATEV software add-on")</f>
        <v>firma.de bookkeeping package prices including DATEV software add-on</v>
      </c>
      <c r="K11" s="126" t="s">
        <v>235</v>
      </c>
    </row>
    <row r="12" ht="31.5" customHeight="1">
      <c r="A12" s="119" t="s">
        <v>236</v>
      </c>
      <c r="B12" s="120" t="b">
        <v>0</v>
      </c>
      <c r="C12" s="120" t="b">
        <v>1</v>
      </c>
      <c r="D12" s="120" t="b">
        <v>1</v>
      </c>
      <c r="E12" s="120" t="b">
        <v>1</v>
      </c>
      <c r="F12" s="121">
        <v>300.0</v>
      </c>
      <c r="G12" s="122">
        <v>600.0</v>
      </c>
      <c r="H12" s="123" t="s">
        <v>237</v>
      </c>
      <c r="I12" s="124" t="s">
        <v>238</v>
      </c>
      <c r="J12" s="125" t="str">
        <f>HYPERLINK("https://www.lexware.de/preise/","Lexware Office software prices used where a tool cost is needed")</f>
        <v>Lexware Office software prices used where a tool cost is needed</v>
      </c>
      <c r="K12" s="126" t="s">
        <v>239</v>
      </c>
    </row>
    <row r="13" ht="31.5" customHeight="1">
      <c r="A13" s="119" t="s">
        <v>240</v>
      </c>
      <c r="B13" s="120" t="b">
        <v>1</v>
      </c>
      <c r="C13" s="120" t="b">
        <v>1</v>
      </c>
      <c r="D13" s="120" t="b">
        <v>1</v>
      </c>
      <c r="E13" s="120" t="b">
        <v>1</v>
      </c>
      <c r="F13" s="121">
        <v>1000.0</v>
      </c>
      <c r="G13" s="122">
        <v>2200.0</v>
      </c>
      <c r="H13" s="123" t="s">
        <v>241</v>
      </c>
      <c r="I13" s="124" t="s">
        <v>242</v>
      </c>
      <c r="J13" s="125" t="str">
        <f>HYPERLINK("https://www.elster.de/eportal/formulare-leistungen/alleformulare","ELSTER lists Umsatzsteuer-Voranmeldung and Umsatzsteuererklärung forms")</f>
        <v>ELSTER lists Umsatzsteuer-Voranmeldung and Umsatzsteuererklärung forms</v>
      </c>
      <c r="K13" s="126" t="s">
        <v>243</v>
      </c>
    </row>
    <row r="14" ht="31.5" customHeight="1">
      <c r="A14" s="119" t="s">
        <v>244</v>
      </c>
      <c r="B14" s="120" t="b">
        <v>1</v>
      </c>
      <c r="C14" s="120" t="b">
        <v>1</v>
      </c>
      <c r="D14" s="120" t="b">
        <v>1</v>
      </c>
      <c r="E14" s="120" t="b">
        <v>1</v>
      </c>
      <c r="F14" s="121">
        <v>1700.0</v>
      </c>
      <c r="G14" s="122">
        <v>2800.0</v>
      </c>
      <c r="H14" s="123" t="s">
        <v>233</v>
      </c>
      <c r="I14" s="124" t="s">
        <v>245</v>
      </c>
      <c r="J14" s="125" t="str">
        <f>HYPERLINK("https://www.elster.de/eportal/formulare-leistungen/alleformulare","ELSTER lists Körperschaftsteuererklärung and Gewerbesteuererklärung; annual accounts benchmark added separately")</f>
        <v>ELSTER lists Körperschaftsteuererklärung and Gewerbesteuererklärung; annual accounts benchmark added separately</v>
      </c>
      <c r="K14" s="126" t="s">
        <v>246</v>
      </c>
    </row>
    <row r="15" ht="31.5" customHeight="1">
      <c r="A15" s="119" t="s">
        <v>247</v>
      </c>
      <c r="B15" s="120" t="b">
        <v>0</v>
      </c>
      <c r="C15" s="120" t="b">
        <v>1</v>
      </c>
      <c r="D15" s="120" t="b">
        <v>1</v>
      </c>
      <c r="E15" s="120" t="b">
        <v>1</v>
      </c>
      <c r="F15" s="121">
        <v>720.0</v>
      </c>
      <c r="G15" s="122">
        <v>1440.0</v>
      </c>
      <c r="H15" s="123" t="s">
        <v>248</v>
      </c>
      <c r="I15" s="124" t="s">
        <v>249</v>
      </c>
      <c r="J15" s="125" t="str">
        <f>HYPERLINK("https://www.elster.de/eportal/formulare-leistungen/alleformulare","ELSTER lists Lohnsteuer-Anmeldung; estimate includes payment-run administration")</f>
        <v>ELSTER lists Lohnsteuer-Anmeldung; estimate includes payment-run administration</v>
      </c>
      <c r="K15" s="126" t="s">
        <v>250</v>
      </c>
    </row>
    <row r="16" ht="31.5" customHeight="1">
      <c r="A16" s="119" t="s">
        <v>251</v>
      </c>
      <c r="B16" s="120" t="b">
        <v>0</v>
      </c>
      <c r="C16" s="120" t="b">
        <v>1</v>
      </c>
      <c r="D16" s="120" t="b">
        <v>1</v>
      </c>
      <c r="E16" s="120" t="b">
        <v>1</v>
      </c>
      <c r="F16" s="121">
        <v>500.0</v>
      </c>
      <c r="G16" s="122">
        <v>1000.0</v>
      </c>
      <c r="H16" s="123" t="s">
        <v>252</v>
      </c>
      <c r="I16" s="124" t="s">
        <v>253</v>
      </c>
      <c r="J16" s="125" t="str">
        <f>HYPERLINK("https://www.lexware.de/preise/","Lexware payroll filing/tool reference plus setup-support estimate")</f>
        <v>Lexware payroll filing/tool reference plus setup-support estimate</v>
      </c>
      <c r="K16" s="126" t="s">
        <v>254</v>
      </c>
    </row>
    <row r="17" ht="31.5" customHeight="1">
      <c r="A17" s="119" t="s">
        <v>255</v>
      </c>
      <c r="B17" s="120" t="b">
        <v>0</v>
      </c>
      <c r="C17" s="120" t="b">
        <v>1</v>
      </c>
      <c r="D17" s="120" t="b">
        <v>1</v>
      </c>
      <c r="E17" s="120" t="b">
        <v>1</v>
      </c>
      <c r="F17" s="121">
        <v>1200.0</v>
      </c>
      <c r="G17" s="122">
        <v>2400.0</v>
      </c>
      <c r="H17" s="123" t="s">
        <v>256</v>
      </c>
      <c r="I17" s="124" t="s">
        <v>257</v>
      </c>
      <c r="J17" s="125" t="str">
        <f>HYPERLINK("https://www.gesetze-im-internet.de/stbgebv/BJNR014420981.html","Professional time-fee benchmark for rent analysis, contract and recurring payment work")</f>
        <v>Professional time-fee benchmark for rent analysis, contract and recurring payment work</v>
      </c>
      <c r="K17" s="126" t="s">
        <v>258</v>
      </c>
    </row>
    <row r="18" ht="31.5" customHeight="1">
      <c r="A18" s="119" t="s">
        <v>259</v>
      </c>
      <c r="B18" s="120" t="b">
        <v>0</v>
      </c>
      <c r="C18" s="120" t="b">
        <v>1</v>
      </c>
      <c r="D18" s="120" t="b">
        <v>1</v>
      </c>
      <c r="E18" s="120" t="b">
        <v>1</v>
      </c>
      <c r="F18" s="121">
        <v>900.0</v>
      </c>
      <c r="G18" s="122">
        <v>1800.0</v>
      </c>
      <c r="H18" s="123" t="s">
        <v>256</v>
      </c>
      <c r="I18" s="124" t="s">
        <v>260</v>
      </c>
      <c r="J18" s="125" t="str">
        <f>HYPERLINK("https://www.gesetze-im-internet.de/stbgebv/BJNR014420981.html","Professional time-fee benchmark for recurring expense and travel-support work")</f>
        <v>Professional time-fee benchmark for recurring expense and travel-support work</v>
      </c>
      <c r="K18" s="126" t="s">
        <v>261</v>
      </c>
    </row>
    <row r="19" ht="31.5" customHeight="1">
      <c r="A19" s="119" t="s">
        <v>262</v>
      </c>
      <c r="B19" s="120" t="b">
        <v>0</v>
      </c>
      <c r="C19" s="120" t="b">
        <v>1</v>
      </c>
      <c r="D19" s="120" t="b">
        <v>1</v>
      </c>
      <c r="E19" s="120" t="b">
        <v>1</v>
      </c>
      <c r="F19" s="121">
        <v>1355.0</v>
      </c>
      <c r="G19" s="122">
        <v>2663.0</v>
      </c>
      <c r="H19" s="123" t="s">
        <v>256</v>
      </c>
      <c r="I19" s="124" t="s">
        <v>263</v>
      </c>
      <c r="J19" s="125" t="str">
        <f>HYPERLINK("https://www.lexware.de/preise/","Lexware invoicing, banking, payment and bookkeeping tool-cost reference")</f>
        <v>Lexware invoicing, banking, payment and bookkeeping tool-cost reference</v>
      </c>
      <c r="K19" s="126" t="s">
        <v>264</v>
      </c>
    </row>
    <row r="20" ht="31.5" customHeight="1">
      <c r="A20" s="119" t="s">
        <v>265</v>
      </c>
      <c r="B20" s="120" t="b">
        <v>0</v>
      </c>
      <c r="C20" s="120" t="b">
        <v>1</v>
      </c>
      <c r="D20" s="120" t="b">
        <v>1</v>
      </c>
      <c r="E20" s="120" t="b">
        <v>1</v>
      </c>
      <c r="F20" s="121">
        <v>600.0</v>
      </c>
      <c r="G20" s="122">
        <v>1200.0</v>
      </c>
      <c r="H20" s="123" t="s">
        <v>256</v>
      </c>
      <c r="I20" s="124" t="s">
        <v>266</v>
      </c>
      <c r="J20" s="125" t="str">
        <f>HYPERLINK("https://www.gesetze-im-internet.de/stbgebv/BJNR014420981.html","StBVV-style recurring support benchmark for tax-payment tracking")</f>
        <v>StBVV-style recurring support benchmark for tax-payment tracking</v>
      </c>
      <c r="K20" s="126" t="s">
        <v>267</v>
      </c>
    </row>
    <row r="21" ht="31.5" customHeight="1">
      <c r="A21" s="119" t="s">
        <v>268</v>
      </c>
      <c r="B21" s="120" t="b">
        <v>0</v>
      </c>
      <c r="C21" s="120" t="b">
        <v>1</v>
      </c>
      <c r="D21" s="120" t="b">
        <v>1</v>
      </c>
      <c r="E21" s="120" t="b">
        <v>1</v>
      </c>
      <c r="F21" s="121">
        <v>900.0</v>
      </c>
      <c r="G21" s="122">
        <v>1800.0</v>
      </c>
      <c r="H21" s="123" t="s">
        <v>256</v>
      </c>
      <c r="I21" s="124" t="s">
        <v>269</v>
      </c>
      <c r="J21" s="125" t="str">
        <f>HYPERLINK("https://www.firma.de/beratung-steuerberater/","Tax-advice benchmark for correspondence support and authority letters")</f>
        <v>Tax-advice benchmark for correspondence support and authority letters</v>
      </c>
      <c r="K21" s="126" t="s">
        <v>270</v>
      </c>
    </row>
    <row r="22" ht="31.5" customHeight="1">
      <c r="A22" s="119" t="s">
        <v>271</v>
      </c>
      <c r="B22" s="120" t="b">
        <v>0</v>
      </c>
      <c r="C22" s="120" t="b">
        <v>1</v>
      </c>
      <c r="D22" s="120" t="b">
        <v>1</v>
      </c>
      <c r="E22" s="120" t="b">
        <v>1</v>
      </c>
      <c r="F22" s="121">
        <v>750.0</v>
      </c>
      <c r="G22" s="122">
        <v>1500.0</v>
      </c>
      <c r="H22" s="123" t="s">
        <v>272</v>
      </c>
      <c r="I22" s="124" t="s">
        <v>273</v>
      </c>
      <c r="J22" s="125" t="str">
        <f>HYPERLINK("https://www.gesetze-im-internet.de/stbgebv/BJNR014420981.html","Professional time-fee benchmark for authority correspondence and case work")</f>
        <v>Professional time-fee benchmark for authority correspondence and case work</v>
      </c>
      <c r="K22" s="126" t="s">
        <v>274</v>
      </c>
    </row>
    <row r="23" ht="31.5" customHeight="1">
      <c r="A23" s="119" t="s">
        <v>275</v>
      </c>
      <c r="B23" s="120" t="b">
        <v>0</v>
      </c>
      <c r="C23" s="120" t="b">
        <v>1</v>
      </c>
      <c r="D23" s="120" t="b">
        <v>1</v>
      </c>
      <c r="E23" s="120" t="b">
        <v>1</v>
      </c>
      <c r="F23" s="121">
        <v>650.0</v>
      </c>
      <c r="G23" s="122">
        <v>1300.0</v>
      </c>
      <c r="H23" s="123" t="s">
        <v>276</v>
      </c>
      <c r="I23" s="124" t="s">
        <v>277</v>
      </c>
      <c r="J23" s="125" t="str">
        <f>HYPERLINK("https://www.gesetze-im-internet.de/stbgebv/BJNR014420981.html","Professional benchmark for depreciation, recurring accounting and tax-planning support")</f>
        <v>Professional benchmark for depreciation, recurring accounting and tax-planning support</v>
      </c>
      <c r="K23" s="126" t="s">
        <v>278</v>
      </c>
    </row>
    <row r="24" ht="31.5" customHeight="1">
      <c r="A24" s="119" t="s">
        <v>279</v>
      </c>
      <c r="B24" s="120" t="b">
        <v>0</v>
      </c>
      <c r="C24" s="120" t="b">
        <v>1</v>
      </c>
      <c r="D24" s="120" t="b">
        <v>1</v>
      </c>
      <c r="E24" s="120" t="b">
        <v>1</v>
      </c>
      <c r="F24" s="121">
        <v>900.0</v>
      </c>
      <c r="G24" s="122">
        <v>1800.0</v>
      </c>
      <c r="H24" s="123" t="s">
        <v>280</v>
      </c>
      <c r="I24" s="124" t="s">
        <v>281</v>
      </c>
      <c r="J24" s="125" t="str">
        <f>HYPERLINK("https://www.firma.de/beratung-steuerberater/","Tax-advice benchmark for retained-profit, investment and recurring accounting support")</f>
        <v>Tax-advice benchmark for retained-profit, investment and recurring accounting support</v>
      </c>
      <c r="K24" s="126" t="s">
        <v>282</v>
      </c>
    </row>
    <row r="25" ht="31.5" customHeight="1">
      <c r="A25" s="119" t="s">
        <v>283</v>
      </c>
      <c r="B25" s="120" t="b">
        <v>0</v>
      </c>
      <c r="C25" s="120" t="b">
        <v>1</v>
      </c>
      <c r="D25" s="120" t="b">
        <v>1</v>
      </c>
      <c r="E25" s="120" t="b">
        <v>1</v>
      </c>
      <c r="F25" s="121">
        <v>300.0</v>
      </c>
      <c r="G25" s="122">
        <v>600.0</v>
      </c>
      <c r="H25" s="123" t="s">
        <v>237</v>
      </c>
      <c r="I25" s="124" t="s">
        <v>284</v>
      </c>
      <c r="J25" s="125" t="str">
        <f>HYPERLINK("https://www.gesetze-im-internet.de/stbgebv/BJNR014420981.html","Professional support benchmark for setup and evidence handling")</f>
        <v>Professional support benchmark for setup and evidence handling</v>
      </c>
      <c r="K25" s="126" t="s">
        <v>285</v>
      </c>
    </row>
    <row r="26" ht="31.5" customHeight="1">
      <c r="A26" s="119" t="s">
        <v>286</v>
      </c>
      <c r="B26" s="120" t="b">
        <v>0</v>
      </c>
      <c r="C26" s="120" t="b">
        <v>0</v>
      </c>
      <c r="D26" s="120" t="b">
        <v>1</v>
      </c>
      <c r="E26" s="120" t="b">
        <v>0</v>
      </c>
      <c r="F26" s="121">
        <v>900.0</v>
      </c>
      <c r="G26" s="122">
        <v>1800.0</v>
      </c>
      <c r="H26" s="123" t="s">
        <v>276</v>
      </c>
      <c r="I26" s="124" t="s">
        <v>287</v>
      </c>
      <c r="J26" s="125" t="str">
        <f>HYPERLINK("https://www.firma.de/beratung-steuerberater/","Tax-advice benchmark for pension reserve planning and annual accounting support")</f>
        <v>Tax-advice benchmark for pension reserve planning and annual accounting support</v>
      </c>
      <c r="K26" s="126" t="s">
        <v>288</v>
      </c>
    </row>
    <row r="27" ht="31.5" customHeight="1">
      <c r="A27" s="119" t="s">
        <v>289</v>
      </c>
      <c r="B27" s="120" t="b">
        <v>0</v>
      </c>
      <c r="C27" s="120" t="b">
        <v>0</v>
      </c>
      <c r="D27" s="120" t="b">
        <v>0</v>
      </c>
      <c r="E27" s="120" t="b">
        <v>1</v>
      </c>
      <c r="F27" s="121">
        <v>1000.0</v>
      </c>
      <c r="G27" s="122">
        <v>2000.0</v>
      </c>
      <c r="H27" s="123" t="s">
        <v>290</v>
      </c>
      <c r="I27" s="124" t="s">
        <v>291</v>
      </c>
      <c r="J27" s="125" t="str">
        <f>HYPERLINK("https://www.gesetze-im-internet.de/stbgebv/BJNR014420981.html","Professional benchmark for complex cross-border tax and accounting work")</f>
        <v>Professional benchmark for complex cross-border tax and accounting work</v>
      </c>
      <c r="K27" s="126" t="s">
        <v>292</v>
      </c>
    </row>
    <row r="28" ht="31.5" customHeight="1">
      <c r="A28" s="119" t="s">
        <v>293</v>
      </c>
      <c r="B28" s="120" t="b">
        <v>0</v>
      </c>
      <c r="C28" s="120" t="b">
        <v>0</v>
      </c>
      <c r="D28" s="120" t="b">
        <v>0</v>
      </c>
      <c r="E28" s="120" t="b">
        <v>1</v>
      </c>
      <c r="F28" s="121">
        <v>3000.0</v>
      </c>
      <c r="G28" s="122">
        <v>6000.0</v>
      </c>
      <c r="H28" s="123" t="s">
        <v>256</v>
      </c>
      <c r="I28" s="124" t="s">
        <v>294</v>
      </c>
      <c r="J28" s="125" t="str">
        <f>HYPERLINK("https://www.irishstatutebook.ie/eli/2014/act/38/section/137/enacted/en/html","Irish Companies Act director-residence reference plus annual director-service estimate")</f>
        <v>Irish Companies Act director-residence reference plus annual director-service estimate</v>
      </c>
      <c r="K28" s="126" t="s">
        <v>295</v>
      </c>
    </row>
    <row r="29" ht="31.5" customHeight="1">
      <c r="A29" s="119" t="s">
        <v>296</v>
      </c>
      <c r="B29" s="120" t="b">
        <v>0</v>
      </c>
      <c r="C29" s="120" t="b">
        <v>1</v>
      </c>
      <c r="D29" s="120" t="b">
        <v>1</v>
      </c>
      <c r="E29" s="120" t="b">
        <v>1</v>
      </c>
      <c r="F29" s="121">
        <v>300.0</v>
      </c>
      <c r="G29" s="122">
        <v>600.0</v>
      </c>
      <c r="H29" s="123" t="s">
        <v>237</v>
      </c>
      <c r="I29" s="124" t="s">
        <v>297</v>
      </c>
      <c r="J29" s="125" t="str">
        <f>HYPERLINK("https://www.arbeitsagentur.de/unternehmen/betriebsnummern-service","Bundesagentur employer-number service plus employer registration support estimate")</f>
        <v>Bundesagentur employer-number service plus employer registration support estimate</v>
      </c>
      <c r="K29" s="126" t="s">
        <v>298</v>
      </c>
    </row>
    <row r="30" ht="31.5" customHeight="1">
      <c r="A30" s="119" t="s">
        <v>299</v>
      </c>
      <c r="B30" s="120" t="b">
        <v>0</v>
      </c>
      <c r="C30" s="120" t="b">
        <v>1</v>
      </c>
      <c r="D30" s="120" t="b">
        <v>1</v>
      </c>
      <c r="E30" s="120" t="b">
        <v>1</v>
      </c>
      <c r="F30" s="121">
        <v>281.0</v>
      </c>
      <c r="G30" s="122">
        <v>531.0</v>
      </c>
      <c r="H30" s="123" t="s">
        <v>223</v>
      </c>
      <c r="I30" s="124" t="s">
        <v>300</v>
      </c>
      <c r="J30" s="125" t="str">
        <f>HYPERLINK("https://service.berlin.de/dienstleistung/121921/","Berlin Gewerbeanmeldung fee reference plus registration support estimate")</f>
        <v>Berlin Gewerbeanmeldung fee reference plus registration support estimate</v>
      </c>
      <c r="K30" s="126" t="s">
        <v>301</v>
      </c>
    </row>
    <row r="31" ht="31.5" customHeight="1">
      <c r="A31" s="119" t="s">
        <v>302</v>
      </c>
      <c r="B31" s="120" t="b">
        <v>0</v>
      </c>
      <c r="C31" s="120" t="b">
        <v>1</v>
      </c>
      <c r="D31" s="120" t="b">
        <v>1</v>
      </c>
      <c r="E31" s="120" t="b">
        <v>1</v>
      </c>
      <c r="F31" s="121">
        <v>250.0</v>
      </c>
      <c r="G31" s="122">
        <v>500.0</v>
      </c>
      <c r="H31" s="123" t="s">
        <v>237</v>
      </c>
      <c r="I31" s="124" t="s">
        <v>303</v>
      </c>
      <c r="J31" s="125" t="str">
        <f>HYPERLINK("https://www.gesetze-im-internet.de/stbgebv/BJNR014420981.html","Professional support benchmark for bank-account setup and records")</f>
        <v>Professional support benchmark for bank-account setup and records</v>
      </c>
      <c r="K31" s="126" t="s">
        <v>304</v>
      </c>
    </row>
    <row r="32" ht="31.5" customHeight="1">
      <c r="A32" s="119" t="s">
        <v>305</v>
      </c>
      <c r="B32" s="120" t="b">
        <v>0</v>
      </c>
      <c r="C32" s="120" t="b">
        <v>1</v>
      </c>
      <c r="D32" s="120" t="b">
        <v>1</v>
      </c>
      <c r="E32" s="120" t="b">
        <v>1</v>
      </c>
      <c r="F32" s="121">
        <v>600.0</v>
      </c>
      <c r="G32" s="122">
        <v>1200.0</v>
      </c>
      <c r="H32" s="123" t="s">
        <v>306</v>
      </c>
      <c r="I32" s="124" t="s">
        <v>307</v>
      </c>
      <c r="J32" s="125" t="str">
        <f>HYPERLINK("https://www.firma.de/beratung-anwalt/","Legal-consultation benchmark for service agreement support")</f>
        <v>Legal-consultation benchmark for service agreement support</v>
      </c>
      <c r="K32" s="126" t="s">
        <v>308</v>
      </c>
    </row>
    <row r="33" ht="31.5" customHeight="1">
      <c r="A33" s="119" t="s">
        <v>309</v>
      </c>
      <c r="B33" s="120" t="b">
        <v>0</v>
      </c>
      <c r="C33" s="120" t="b">
        <v>1</v>
      </c>
      <c r="D33" s="120" t="b">
        <v>1</v>
      </c>
      <c r="E33" s="120" t="b">
        <v>1</v>
      </c>
      <c r="F33" s="121">
        <v>500.0</v>
      </c>
      <c r="G33" s="122">
        <v>1000.0</v>
      </c>
      <c r="H33" s="123" t="s">
        <v>310</v>
      </c>
      <c r="I33" s="124" t="s">
        <v>311</v>
      </c>
      <c r="J33" s="125" t="str">
        <f>HYPERLINK("https://www.firma.de/beratung-anwalt/","Legal-consultation benchmark for employment contract change support")</f>
        <v>Legal-consultation benchmark for employment contract change support</v>
      </c>
      <c r="K33" s="126" t="s">
        <v>312</v>
      </c>
    </row>
    <row r="34" ht="31.5" customHeight="1">
      <c r="A34" s="119" t="s">
        <v>313</v>
      </c>
      <c r="B34" s="120" t="b">
        <v>0</v>
      </c>
      <c r="C34" s="120" t="b">
        <v>1</v>
      </c>
      <c r="D34" s="120" t="b">
        <v>1</v>
      </c>
      <c r="E34" s="120" t="b">
        <v>1</v>
      </c>
      <c r="F34" s="121">
        <v>2500.0</v>
      </c>
      <c r="G34" s="122">
        <v>5000.0</v>
      </c>
      <c r="H34" s="123" t="s">
        <v>314</v>
      </c>
      <c r="I34" s="124" t="s">
        <v>315</v>
      </c>
      <c r="J34" s="125" t="str">
        <f>HYPERLINK("https://cro.ie/post-registration/company-post/share-transfer/","CRO share-transfer, stamp-duty and annual-return filing reference")</f>
        <v>CRO share-transfer, stamp-duty and annual-return filing reference</v>
      </c>
      <c r="K34" s="126" t="s">
        <v>316</v>
      </c>
    </row>
    <row r="35" ht="31.5" customHeight="1">
      <c r="A35" s="119" t="s">
        <v>317</v>
      </c>
      <c r="B35" s="120" t="b">
        <v>0</v>
      </c>
      <c r="C35" s="120" t="b">
        <v>1</v>
      </c>
      <c r="D35" s="120" t="b">
        <v>1</v>
      </c>
      <c r="E35" s="120" t="b">
        <v>1</v>
      </c>
      <c r="F35" s="121">
        <v>650.0</v>
      </c>
      <c r="G35" s="122">
        <v>1500.0</v>
      </c>
      <c r="H35" s="123" t="s">
        <v>318</v>
      </c>
      <c r="I35" s="124" t="s">
        <v>319</v>
      </c>
      <c r="J35" s="125" t="str">
        <f>HYPERLINK("https://rbo.gov.ie/faqs/ppsn-why-its-required-and-what-to-do-if-you-dont-have-one/","RBO explains VIF/IPN where a beneficial owner has no Irish PPSN")</f>
        <v>RBO explains VIF/IPN where a beneficial owner has no Irish PPSN</v>
      </c>
      <c r="K35" s="126" t="s">
        <v>320</v>
      </c>
    </row>
    <row r="36" ht="31.5" customHeight="1">
      <c r="A36" s="119" t="s">
        <v>321</v>
      </c>
      <c r="B36" s="120" t="b">
        <v>0</v>
      </c>
      <c r="C36" s="120" t="b">
        <v>0</v>
      </c>
      <c r="D36" s="120" t="b">
        <v>0</v>
      </c>
      <c r="E36" s="120" t="b">
        <v>0</v>
      </c>
      <c r="F36" s="121">
        <v>750.0</v>
      </c>
      <c r="G36" s="122">
        <v>1500.0</v>
      </c>
      <c r="H36" s="123" t="s">
        <v>322</v>
      </c>
      <c r="I36" s="124" t="s">
        <v>323</v>
      </c>
      <c r="J36" s="125" t="str">
        <f>HYPERLINK("https://www.gesetze-im-internet.de/stbgebv/BJNR014420981.html","StBVV personal tax filing and income-calculation benchmark")</f>
        <v>StBVV personal tax filing and income-calculation benchmark</v>
      </c>
      <c r="K36" s="126" t="s">
        <v>324</v>
      </c>
    </row>
    <row r="37" ht="31.5" customHeight="1">
      <c r="A37" s="119" t="s">
        <v>325</v>
      </c>
      <c r="B37" s="120" t="b">
        <v>0</v>
      </c>
      <c r="C37" s="120" t="b">
        <v>0</v>
      </c>
      <c r="D37" s="120" t="b">
        <v>0</v>
      </c>
      <c r="E37" s="120" t="b">
        <v>0</v>
      </c>
      <c r="F37" s="121">
        <v>450.0</v>
      </c>
      <c r="G37" s="122">
        <v>900.0</v>
      </c>
      <c r="H37" s="123" t="s">
        <v>326</v>
      </c>
      <c r="I37" s="124" t="s">
        <v>327</v>
      </c>
      <c r="J37" s="125" t="str">
        <f>HYPERLINK("https://www.gesetze-im-internet.de/stbgebv/BJNR014420981.html","Professional support benchmark for parental leave and salary-timing planning")</f>
        <v>Professional support benchmark for parental leave and salary-timing planning</v>
      </c>
      <c r="K37" s="126" t="s">
        <v>328</v>
      </c>
    </row>
    <row r="38" ht="31.5" customHeight="1">
      <c r="A38" s="127" t="s">
        <v>329</v>
      </c>
      <c r="B38" s="128" t="b">
        <v>0</v>
      </c>
      <c r="C38" s="128" t="b">
        <v>1</v>
      </c>
      <c r="D38" s="128" t="b">
        <v>1</v>
      </c>
      <c r="E38" s="128" t="b">
        <v>1</v>
      </c>
      <c r="F38" s="129">
        <v>500.0</v>
      </c>
      <c r="G38" s="130">
        <v>1000.0</v>
      </c>
      <c r="H38" s="131" t="s">
        <v>330</v>
      </c>
      <c r="I38" s="132" t="s">
        <v>331</v>
      </c>
      <c r="J38" s="133" t="str">
        <f>HYPERLINK("https://www.firma.de/beratung-steuerberater/","Tax-advice benchmark for forecast and life-change planning support")</f>
        <v>Tax-advice benchmark for forecast and life-change planning support</v>
      </c>
      <c r="K38" s="134" t="s">
        <v>332</v>
      </c>
    </row>
    <row r="39" ht="31.5" customHeight="1">
      <c r="A39" s="135" t="s">
        <v>333</v>
      </c>
      <c r="B39" s="110" t="b">
        <v>0</v>
      </c>
      <c r="C39" s="110" t="b">
        <v>1</v>
      </c>
      <c r="D39" s="110" t="b">
        <v>1</v>
      </c>
      <c r="E39" s="110" t="b">
        <v>1</v>
      </c>
      <c r="F39" s="136">
        <v>600.0</v>
      </c>
      <c r="G39" s="136">
        <v>1200.0</v>
      </c>
      <c r="H39" s="137" t="s">
        <v>256</v>
      </c>
      <c r="I39" s="110" t="s">
        <v>334</v>
      </c>
      <c r="J39" s="138" t="str">
        <f>HYPERLINK("https://www.gesetze-im-internet.de/stbgebv/BJNR014420981.html","StBVV-style time-fee benchmark for recurring client support")</f>
        <v>StBVV-style time-fee benchmark for recurring client support</v>
      </c>
      <c r="K39" s="110" t="s">
        <v>335</v>
      </c>
    </row>
  </sheetData>
  <autoFilter ref="$A$7:$K$39"/>
  <mergeCells count="2">
    <mergeCell ref="A1:K1"/>
    <mergeCell ref="A5:K5"/>
  </mergeCells>
  <drawing r:id="rId1"/>
</worksheet>
</file>