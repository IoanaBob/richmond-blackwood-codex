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Option 1 services" sheetId="4" r:id="rId8"/>
    <sheet state="visible" name="Option 2 services" sheetId="5" r:id="rId9"/>
    <sheet state="visible" name="Option 3 services" sheetId="6" r:id="rId10"/>
    <sheet state="visible" name="Option 4 services" sheetId="7" r:id="rId11"/>
  </sheets>
  <definedNames/>
  <calcPr/>
</workbook>
</file>

<file path=xl/sharedStrings.xml><?xml version="1.0" encoding="utf-8"?>
<sst xmlns="http://schemas.openxmlformats.org/spreadsheetml/2006/main" count="586" uniqueCount="285">
  <si>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</si>
  <si>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</si>
  <si>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</si>
  <si>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</si>
  <si>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</si>
  <si>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</si>
  <si>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</si>
  <si>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</si>
  <si>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</si>
  <si>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</si>
  <si>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</si>
  <si>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</si>
  <si>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</si>
  <si>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</si>
  <si>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</si>
  <si>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</si>
  <si>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</si>
  <si>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</si>
  <si>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</si>
  <si>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</si>
  <si>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</si>
  <si>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</si>
  <si>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</si>
  <si>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</si>
  <si>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</si>
  <si>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</si>
  <si>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</si>
  <si>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</si>
  <si>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</si>
  <si>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</si>
  <si>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</si>
  <si>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</si>
  <si>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</si>
  <si>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Taxable profit before optimisation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</si>
  <si>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</si>
  <si>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</si>
  <si>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</si>
  <si>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</si>
  <si>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</si>
  <si>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</si>
  <si>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</si>
  <si>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</si>
  <si>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Taxable profit after scenario</t>
  </si>
  <si>
    <t>Corporation tax rate</t>
  </si>
  <si>
    <t>Corporation tax payable</t>
  </si>
  <si>
    <t>Corporation tax saved vs before</t>
  </si>
  <si>
    <t>Personal / owner value</t>
  </si>
  <si>
    <t>Office rent after personal tax</t>
  </si>
  <si>
    <t>Travel / other costs shifted from personal</t>
  </si>
  <si>
    <t>Investment planning benefit</t>
  </si>
  <si>
    <t>Pension reserve value</t>
  </si>
  <si>
    <t>Director fee after personal tax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</si>
  <si>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</si>
  <si>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</si>
  <si>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</si>
  <si>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</si>
  <si>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</si>
  <si>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</si>
  <si>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</si>
  <si>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</si>
  <si>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</si>
  <si>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</si>
  <si>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</si>
  <si>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</si>
  <si>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</si>
  <si>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</si>
  <si>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</si>
  <si>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</si>
  <si>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</si>
  <si>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</si>
  <si>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</si>
  <si>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</si>
  <si>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</si>
  <si>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</si>
  <si>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</si>
  <si>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</si>
  <si>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</si>
  <si>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</si>
  <si>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</si>
  <si>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</si>
  <si>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</si>
  <si>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</si>
  <si>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</si>
  <si>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</si>
  <si>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</si>
  <si>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</si>
  <si>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</si>
  <si>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</si>
  <si>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</si>
  <si>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</si>
  <si>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</si>
  <si>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</si>
  <si>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</si>
  <si>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</si>
  <si>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</si>
  <si>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</si>
  <si>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</si>
  <si>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</si>
  <si>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</si>
  <si>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</si>
  <si>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</si>
  <si>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</si>
  <si>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</si>
  <si>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</si>
  <si>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</si>
  <si>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Used for owner-level after-tax value estimates</t>
  </si>
  <si>
    <t>Operating model</t>
  </si>
  <si>
    <t>Operating model note</t>
  </si>
  <si>
    <t>Inputs below feed the comparison tab</t>
  </si>
  <si>
    <t>Use annual amounts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</si>
  <si>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</si>
  <si>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</si>
  <si>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</si>
  <si>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</si>
  <si>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</si>
  <si>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</si>
  <si>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</si>
  <si>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Before RB changes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</si>
  <si>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</si>
  <si>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</si>
  <si>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</si>
  <si>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</si>
  <si>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</si>
  <si>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</si>
  <si>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</si>
  <si>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Personal taxable share of office rent</t>
  </si>
  <si>
    <t>Share assumed taxable to owner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</si>
  <si>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</si>
  <si>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</si>
  <si>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</si>
  <si>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</si>
  <si>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</si>
  <si>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</si>
  <si>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</si>
  <si>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</si>
  <si>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</si>
  <si>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</si>
  <si>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</si>
  <si>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</si>
  <si>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</si>
  <si>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</si>
  <si>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</si>
  <si>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</si>
  <si>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</si>
  <si>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</si>
  <si>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</si>
  <si>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</si>
  <si>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</si>
  <si>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Director personal tax / leakage rate</t>
  </si>
  <si>
    <t>After-tax owner value assumption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</si>
  <si>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</si>
  <si>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</si>
  <si>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</si>
  <si>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</si>
  <si>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</si>
  <si>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</si>
  <si>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</si>
  <si>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</si>
  <si>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</si>
  <si>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</si>
  <si>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Shown as separate line in Option 3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</si>
  <si>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</si>
  <si>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</si>
  <si>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</si>
  <si>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</si>
  <si>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</si>
  <si>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</si>
  <si>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</si>
  <si>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 planning; pension reserve excluded</t>
  </si>
  <si>
    <t>1000 plus pension surcharge plus employee surcharge if applicable</t>
  </si>
  <si>
    <t>Option 2 scope plus pension reserve planning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</si>
  <si>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</si>
  <si>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</si>
  <si>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</si>
  <si>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</si>
  <si>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</si>
  <si>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</si>
  <si>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</si>
  <si>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</si>
  <si>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</si>
  <si>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</si>
  <si>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</si>
  <si>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</si>
  <si>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</si>
  <si>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</si>
  <si>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</si>
  <si>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</si>
  <si>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</si>
  <si>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</si>
  <si>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</si>
  <si>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</si>
  <si>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</si>
  <si>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</si>
  <si>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</si>
  <si>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</si>
  <si>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</si>
  <si>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</si>
  <si>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</si>
  <si>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</si>
  <si>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</si>
  <si>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</si>
  <si>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</si>
  <si>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</si>
  <si>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</si>
  <si>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</si>
  <si>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</si>
  <si>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</si>
  <si>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</si>
  <si>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Option 1 services</t>
  </si>
  <si>
    <t>RB option fee</t>
  </si>
  <si>
    <t>Standalone DE market value checked</t>
  </si>
  <si>
    <t>Reference date</t>
  </si>
  <si>
    <t>Status: provisional. Source: RB service list plus public DE pricing references. Review market prices before client reliance.</t>
  </si>
  <si>
    <t>Included</t>
  </si>
  <si>
    <t>Service</t>
  </si>
  <si>
    <t>RB / client discussion point</t>
  </si>
  <si>
    <t>Standalone DE market estimate</t>
  </si>
  <si>
    <t>Basis</t>
  </si>
  <si>
    <t>Reference URL</t>
  </si>
  <si>
    <t>Reference note</t>
  </si>
  <si>
    <t>Basic operating entity review</t>
  </si>
  <si>
    <t>Accounting, legal and structuring intake; no optimisation work</t>
  </si>
  <si>
    <t>One-off</t>
  </si>
  <si>
    <t>https://www.firma.de/beratung-steuerberater/ | https://www.firma.de/beratung-anwalt/ | https://www.firma.de/satzung/</t>
  </si>
  <si>
    <t>firma.de tax consultation 89, legal consultation 135, Startup Satzung 599</t>
  </si>
  <si>
    <t>Monthly bookkeeping/accounting package</t>
  </si>
  <si>
    <t>Market benchmark if client buys bookkeeping separately</t>
  </si>
  <si>
    <t>Annual, 169 per month</t>
  </si>
  <si>
    <t>https://www.firma.de/buchhaltung/</t>
  </si>
  <si>
    <t>firma.de Basis bookkeeping package 169 per month</t>
  </si>
  <si>
    <t>VAT compliance / VAT filings</t>
  </si>
  <si>
    <t>Market benchmark for periodic VAT support</t>
  </si>
  <si>
    <t>Annual planning estimate</t>
  </si>
  <si>
    <t>https://www.gesetze-im-internet.de/stbgebv/BJNR014420981.html</t>
  </si>
  <si>
    <t>StBVV section 24 sets VAT filing fee ranges; use as review benchmark</t>
  </si>
  <si>
    <t>Annual accounts and corporate tax filings</t>
  </si>
  <si>
    <t>Market benchmark for annual accounts and corporate filings</t>
  </si>
  <si>
    <t>Annual</t>
  </si>
  <si>
    <t>https://www.firma.de/jahresabschluss-kapitalgesellschaft/ | https://www.gesetze-im-internet.de/stbgebv/BJNR014420981.html</t>
  </si>
  <si>
    <t>firma.de Basis annual accounts 1949; StBVV sections 24 and 35 support statutory fee basis</t>
  </si>
  <si>
    <t>Payroll for one employee</t>
  </si>
  <si>
    <t>Market benchmark for one employee payroll</t>
  </si>
  <si>
    <t>Annual, 19.99 per month rounded</t>
  </si>
  <si>
    <t>https://www.firma.de/lohnabrechnung/ | https://www.gesetze-im-internet.de/stbgebv/BJNR014420981.html</t>
  </si>
  <si>
    <t>firma.de Starter payroll 19.99 per month; StBVV section 34 payroll range 6-30 per employee per period</t>
  </si>
  <si>
    <t>Office rent / company-address optimisation</t>
  </si>
  <si>
    <t>Not included in basic operating entity option</t>
  </si>
  <si>
    <t>One-off planning estimate</t>
  </si>
  <si>
    <t>https://www.firma.de/geschaeftsadresse/ | https://www.firma.de/beratung-steuerberater/ | https://www.firma.de/beratung-anwalt/</t>
  </si>
  <si>
    <t>Benchmark uses tax and legal consultation plus address-market reference</t>
  </si>
  <si>
    <t>Business travel and expense policy optimisation</t>
  </si>
  <si>
    <t>https://www.gesetze-im-internet.de/stbgebv/BJNR014420981.html | https://www.firma.de/beratung-steuerberater/</t>
  </si>
  <si>
    <t>StBVV section 18 gives travel-cost framework; consultation benchmark anchors pricing</t>
  </si>
  <si>
    <t>Car purchase / depreciation planning</t>
  </si>
  <si>
    <t>StBVV sections 24 and 35 plus tax consultation benchmark</t>
  </si>
  <si>
    <t>Investment / retained-profit planning</t>
  </si>
  <si>
    <t>StBVV section 22 written-opinion basis plus tax consultation benchmark</t>
  </si>
  <si>
    <t>Pension reserve planning</t>
  </si>
  <si>
    <t>Excluded; add Option 3 if needed</t>
  </si>
  <si>
    <t>Dual tax jurisdiction / IE-DE tax residence review</t>
  </si>
  <si>
    <t>Excluded; add Option 4 if company is IE tax resident</t>
  </si>
  <si>
    <t>Complex cross-border written-opinion benchmark under StBVV section 22</t>
  </si>
  <si>
    <t>Director fee planning / director-service structuring</t>
  </si>
  <si>
    <t>Excluded; add Option 4 if director fee is required</t>
  </si>
  <si>
    <t>https://www.firma.de/beratung-anwalt/ | https://www.firma.de/beratung-steuerberater/ | https://www.firma.de/satzung/</t>
  </si>
  <si>
    <t>Legal plus tax consultation and company-constitution pricing benchmark</t>
  </si>
  <si>
    <t>Option 2 services</t>
  </si>
  <si>
    <t>Accounting, legal and structuring intake</t>
  </si>
  <si>
    <t>Accounting support benchmark in DE</t>
  </si>
  <si>
    <t>VAT support benchmark</t>
  </si>
  <si>
    <t>Annual accounts and corporate filings benchmark</t>
  </si>
  <si>
    <t>One employee payroll benchmark</t>
  </si>
  <si>
    <t>Optimise office rent or company-rented workspace arrangement</t>
  </si>
  <si>
    <t>Optimise business travel and other eligible expenses</t>
  </si>
  <si>
    <t>Optimise company car purchase and depreciation planning</t>
  </si>
  <si>
    <t>Help with investment and retained-profit planning</t>
  </si>
  <si>
    <t>Excluded from Option 2; add Option 3 if needed</t>
  </si>
  <si>
    <t>Excluded unless company is IE tax resident</t>
  </si>
  <si>
    <t>Excluded unless director fee is required</t>
  </si>
  <si>
    <t>Option 3 services</t>
  </si>
  <si>
    <t>Tax-efficient pension / pension reserve planning</t>
  </si>
  <si>
    <t>Option 4 services</t>
  </si>
  <si>
    <t>Excluded unless added separately</t>
  </si>
  <si>
    <t>IE tax residence, not IE-resident person</t>
  </si>
  <si>
    <t>Discounted director-support line in RB option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</si>
</sst>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yyyy-mm-dd"/>
  </numFmts>
  <fonts count="14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FF"/>
      <name val="Roboto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</fills>
  <borders count="17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12" numFmtId="0" xfId="0" applyBorder="1" applyFill="1" applyFont="1"/>
    <xf borderId="1" fillId="8" fontId="12" numFmtId="0" xfId="0" applyAlignment="1" applyBorder="1" applyFont="1">
      <alignment readingOrder="0"/>
    </xf>
    <xf borderId="1" fillId="0" fontId="8" numFmtId="0" xfId="0" applyBorder="1" applyFont="1"/>
    <xf borderId="2" fillId="6" fontId="9" numFmtId="0" xfId="0" applyAlignment="1" applyBorder="1" applyFont="1">
      <alignment readingOrder="0" shrinkToFit="0" vertical="center" wrapText="1"/>
    </xf>
    <xf borderId="3" fillId="8" fontId="9" numFmtId="0" xfId="0" applyAlignment="1" applyBorder="1" applyFont="1">
      <alignment readingOrder="0" shrinkToFit="0" vertical="center" wrapText="1"/>
    </xf>
    <xf borderId="3" fillId="6" fontId="9" numFmtId="0" xfId="0" applyAlignment="1" applyBorder="1" applyFont="1">
      <alignment readingOrder="0" shrinkToFit="0" vertical="center" wrapText="1"/>
    </xf>
    <xf borderId="4" fillId="6" fontId="9" numFmtId="0" xfId="0" applyAlignment="1" applyBorder="1" applyFont="1">
      <alignment readingOrder="0" shrinkToFit="0" vertical="center" wrapText="1"/>
    </xf>
    <xf borderId="1" fillId="8" fontId="12" numFmtId="166" xfId="0" applyAlignment="1" applyBorder="1" applyFont="1" applyNumberFormat="1">
      <alignment readingOrder="0"/>
    </xf>
    <xf borderId="1" fillId="8" fontId="12" numFmtId="168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wrapText="1"/>
    </xf>
    <xf borderId="3" fillId="8" fontId="4" numFmtId="0" xfId="0" applyAlignment="1" applyBorder="1" applyFont="1">
      <alignment readingOrder="0" shrinkToFit="0" wrapText="1"/>
    </xf>
    <xf borderId="3" fillId="0" fontId="4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readingOrder="0" shrinkToFit="0" wrapText="1"/>
    </xf>
    <xf borderId="1" fillId="8" fontId="12" numFmtId="164" xfId="0" applyAlignment="1" applyBorder="1" applyFont="1" applyNumberFormat="1">
      <alignment readingOrder="0"/>
    </xf>
    <xf borderId="3" fillId="8" fontId="9" numFmtId="164" xfId="0" applyAlignment="1" applyBorder="1" applyFont="1" applyNumberFormat="1">
      <alignment readingOrder="0" shrinkToFit="0" vertical="center" wrapText="1"/>
    </xf>
    <xf borderId="1" fillId="8" fontId="6" numFmtId="164" xfId="0" applyBorder="1" applyFont="1" applyNumberFormat="1"/>
    <xf borderId="3" fillId="8" fontId="4" numFmtId="164" xfId="0" applyAlignment="1" applyBorder="1" applyFont="1" applyNumberFormat="1">
      <alignment readingOrder="0" shrinkToFit="0" wrapText="1"/>
    </xf>
    <xf borderId="1" fillId="8" fontId="12" numFmtId="164" xfId="0" applyBorder="1" applyFont="1" applyNumberFormat="1"/>
    <xf borderId="1" fillId="8" fontId="6" numFmtId="164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1"/>
    </xf>
    <xf borderId="1" fillId="8" fontId="6" numFmtId="166" xfId="0" applyAlignment="1" applyBorder="1" applyFont="1" applyNumberFormat="1">
      <alignment readingOrder="0"/>
    </xf>
    <xf borderId="5" fillId="0" fontId="4" numFmtId="0" xfId="0" applyAlignment="1" applyBorder="1" applyFont="1">
      <alignment readingOrder="0" shrinkToFit="0" wrapText="1"/>
    </xf>
    <xf borderId="5" fillId="8" fontId="12" numFmtId="164" xfId="0" applyAlignment="1" applyBorder="1" applyFont="1" applyNumberFormat="1">
      <alignment readingOrder="0"/>
    </xf>
    <xf borderId="6" fillId="6" fontId="9" numFmtId="0" xfId="0" applyAlignment="1" applyBorder="1" applyFont="1">
      <alignment readingOrder="0" shrinkToFit="0" vertical="center" wrapText="1"/>
    </xf>
    <xf borderId="7" fillId="8" fontId="9" numFmtId="164" xfId="0" applyAlignment="1" applyBorder="1" applyFont="1" applyNumberFormat="1">
      <alignment readingOrder="0" shrinkToFit="0" vertical="center" wrapText="1"/>
    </xf>
    <xf borderId="7" fillId="6" fontId="9" numFmtId="0" xfId="0" applyAlignment="1" applyBorder="1" applyFont="1">
      <alignment readingOrder="0" shrinkToFit="0" vertical="center" wrapText="1"/>
    </xf>
    <xf borderId="8" fillId="6" fontId="9" numFmtId="0" xfId="0" applyAlignment="1" applyBorder="1" applyFont="1">
      <alignment readingOrder="0" shrinkToFit="0" vertical="center" wrapText="1"/>
    </xf>
    <xf borderId="9" fillId="0" fontId="4" numFmtId="0" xfId="0" applyAlignment="1" applyBorder="1" applyFont="1">
      <alignment readingOrder="0" shrinkToFit="0" wrapText="1"/>
    </xf>
    <xf borderId="10" fillId="0" fontId="8" numFmtId="0" xfId="0" applyAlignment="1" applyBorder="1" applyFont="1">
      <alignment readingOrder="0"/>
    </xf>
    <xf borderId="14" fillId="0" fontId="4" numFmtId="0" xfId="0" applyAlignment="1" applyBorder="1" applyFont="1">
      <alignment readingOrder="0" shrinkToFit="0" wrapText="1"/>
    </xf>
    <xf borderId="15" fillId="8" fontId="12" numFmtId="164" xfId="0" applyAlignment="1" applyBorder="1" applyFont="1" applyNumberFormat="1">
      <alignment readingOrder="0"/>
    </xf>
    <xf borderId="15" fillId="0" fontId="8" numFmtId="0" xfId="0" applyAlignment="1" applyBorder="1" applyFont="1">
      <alignment readingOrder="0"/>
    </xf>
    <xf borderId="16" fillId="0" fontId="8" numFmtId="0" xfId="0" applyAlignment="1" applyBorder="1" applyFont="1">
      <alignment readingOrder="0"/>
    </xf>
    <xf borderId="1" fillId="0" fontId="12" numFmtId="0" xfId="0" applyAlignment="1" applyBorder="1" applyFont="1">
      <alignment readingOrder="0" shrinkToFit="0" wrapText="1"/>
    </xf>
    <xf borderId="1" fillId="0" fontId="12" numFmtId="0" xfId="0" applyAlignment="1" applyBorder="1" applyFont="1">
      <alignment readingOrder="0"/>
    </xf>
    <xf borderId="1" fillId="0" fontId="12" numFmtId="0" xfId="0" applyBorder="1" applyFont="1"/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11" numFmtId="164" xfId="0" applyAlignment="1" applyFont="1" applyNumberFormat="1">
      <alignment shrinkToFit="0" vertical="center" wrapText="1"/>
    </xf>
    <xf borderId="0" fillId="0" fontId="11" numFmtId="164" xfId="0" applyAlignment="1" applyFont="1" applyNumberFormat="1">
      <alignment readingOrder="0" shrinkToFit="0" vertical="center" wrapText="1"/>
    </xf>
    <xf borderId="0" fillId="0" fontId="11" numFmtId="169" xfId="0" applyAlignment="1" applyFont="1" applyNumberFormat="1">
      <alignment readingOrder="0" shrinkToFit="0" vertical="center" wrapText="1"/>
    </xf>
    <xf borderId="0" fillId="0" fontId="11" numFmtId="0" xfId="0" applyAlignment="1" applyFont="1">
      <alignment shrinkToFit="0" vertical="center" wrapText="1"/>
    </xf>
    <xf borderId="0" fillId="4" fontId="3" numFmtId="0" xfId="0" applyAlignment="1" applyFont="1">
      <alignment readingOrder="0" shrinkToFit="0" vertical="center" wrapText="1"/>
    </xf>
    <xf borderId="0" fillId="0" fontId="13" numFmtId="0" xfId="0" applyAlignment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0.0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4" t="s">
        <v>78</v>
      </c>
      <c r="B5" s="52"/>
      <c r="C5" s="11" t="s">
        <v>79</v>
      </c>
      <c r="D5" s="11" t="s">
        <v>80</v>
      </c>
    </row>
    <row r="6" ht="16.5" customHeight="1">
      <c r="A6" s="4" t="s">
        <v>81</v>
      </c>
      <c r="B6" s="52"/>
      <c r="C6" s="11" t="s">
        <v>79</v>
      </c>
      <c r="D6" s="11" t="s">
        <v>82</v>
      </c>
    </row>
    <row r="7" ht="16.5" customHeight="1">
      <c r="A7" s="4"/>
      <c r="B7" s="53"/>
      <c r="C7" s="11"/>
      <c r="D7" s="11"/>
    </row>
    <row r="8" ht="16.5" customHeight="1">
      <c r="A8" s="4" t="s">
        <v>83</v>
      </c>
      <c r="B8" s="53" t="s">
        <v>84</v>
      </c>
      <c r="C8" s="11" t="s">
        <v>85</v>
      </c>
      <c r="D8" s="11" t="s">
        <v>86</v>
      </c>
    </row>
    <row r="9" ht="16.5" customHeight="1">
      <c r="A9" s="4" t="s">
        <v>87</v>
      </c>
      <c r="B9" s="53">
        <v>1.0</v>
      </c>
      <c r="C9" s="11" t="s">
        <v>88</v>
      </c>
      <c r="D9" s="11" t="s">
        <v>89</v>
      </c>
    </row>
    <row r="10" ht="16.5" customHeight="1">
      <c r="A10" s="4" t="s">
        <v>90</v>
      </c>
      <c r="B10" s="53"/>
      <c r="C10" s="11" t="s">
        <v>79</v>
      </c>
      <c r="D10" s="11" t="s">
        <v>91</v>
      </c>
    </row>
    <row r="11" ht="16.5" customHeight="1">
      <c r="A11" s="4" t="s">
        <v>92</v>
      </c>
      <c r="B11" s="53" t="s">
        <v>15</v>
      </c>
      <c r="C11" s="11" t="s">
        <v>85</v>
      </c>
      <c r="D11" s="11" t="s">
        <v>93</v>
      </c>
    </row>
    <row r="12" ht="16.5" customHeight="1">
      <c r="A12" s="4"/>
      <c r="B12" s="52"/>
      <c r="C12" s="54"/>
      <c r="D12" s="54"/>
    </row>
    <row r="13" ht="16.5" customHeight="1">
      <c r="A13" s="18" t="s">
        <v>94</v>
      </c>
      <c r="B13" s="19"/>
      <c r="C13" s="19"/>
      <c r="D13" s="20"/>
    </row>
    <row r="14" ht="16.5" customHeight="1">
      <c r="A14" s="55" t="s">
        <v>95</v>
      </c>
      <c r="B14" s="56" t="s">
        <v>96</v>
      </c>
      <c r="C14" s="57" t="s">
        <v>79</v>
      </c>
      <c r="D14" s="58" t="s">
        <v>97</v>
      </c>
    </row>
    <row r="15" ht="16.5" customHeight="1">
      <c r="A15" s="4" t="s">
        <v>98</v>
      </c>
      <c r="B15" s="59">
        <v>0.3</v>
      </c>
      <c r="C15" s="11" t="s">
        <v>99</v>
      </c>
      <c r="D15" s="11" t="s">
        <v>100</v>
      </c>
    </row>
    <row r="16" ht="16.5" customHeight="1">
      <c r="A16" s="4" t="s">
        <v>101</v>
      </c>
      <c r="B16" s="59">
        <v>0.125</v>
      </c>
      <c r="C16" s="11" t="s">
        <v>102</v>
      </c>
      <c r="D16" s="11" t="s">
        <v>103</v>
      </c>
    </row>
    <row r="17" ht="16.5" customHeight="1">
      <c r="A17" s="4" t="s">
        <v>104</v>
      </c>
      <c r="B17" s="59">
        <v>0.42</v>
      </c>
      <c r="C17" s="11" t="s">
        <v>102</v>
      </c>
      <c r="D17" s="11" t="s">
        <v>105</v>
      </c>
    </row>
    <row r="18" ht="16.5" customHeight="1">
      <c r="A18" s="4"/>
      <c r="B18" s="60"/>
      <c r="C18" s="11"/>
      <c r="D18" s="11"/>
    </row>
    <row r="19" ht="16.5" customHeight="1">
      <c r="A19" s="18" t="s">
        <v>106</v>
      </c>
      <c r="B19" s="19"/>
      <c r="C19" s="19"/>
      <c r="D19" s="20"/>
    </row>
    <row r="20" ht="16.5" customHeight="1">
      <c r="A20" s="61" t="s">
        <v>107</v>
      </c>
      <c r="B20" s="62" t="s">
        <v>108</v>
      </c>
      <c r="C20" s="63" t="s">
        <v>79</v>
      </c>
      <c r="D20" s="64" t="s">
        <v>109</v>
      </c>
    </row>
    <row r="21" ht="16.5" customHeight="1">
      <c r="A21" s="4" t="s">
        <v>110</v>
      </c>
      <c r="B21" s="65">
        <v>180000.0</v>
      </c>
      <c r="C21" s="11" t="s">
        <v>111</v>
      </c>
      <c r="D21" s="11" t="s">
        <v>112</v>
      </c>
    </row>
    <row r="22" ht="16.5" customHeight="1">
      <c r="A22" s="55" t="s">
        <v>113</v>
      </c>
      <c r="B22" s="66">
        <v>60000.0</v>
      </c>
      <c r="C22" s="57" t="s">
        <v>111</v>
      </c>
      <c r="D22" s="58" t="s">
        <v>114</v>
      </c>
    </row>
    <row r="23" ht="16.5" customHeight="1">
      <c r="A23" s="4" t="s">
        <v>115</v>
      </c>
      <c r="B23" s="65" t="s">
        <v>18</v>
      </c>
      <c r="C23" s="11" t="s">
        <v>79</v>
      </c>
      <c r="D23" s="11" t="s">
        <v>116</v>
      </c>
    </row>
    <row r="24" ht="16.5" customHeight="1">
      <c r="A24" s="4" t="s">
        <v>33</v>
      </c>
      <c r="B24" s="65">
        <f>B21-B22</f>
        <v>120000</v>
      </c>
      <c r="C24" s="11" t="s">
        <v>111</v>
      </c>
      <c r="D24" s="11" t="s">
        <v>117</v>
      </c>
    </row>
    <row r="25" ht="16.5" customHeight="1">
      <c r="A25" s="4"/>
      <c r="B25" s="67"/>
      <c r="C25" s="11"/>
      <c r="D25" s="11"/>
    </row>
    <row r="26" ht="16.5" customHeight="1">
      <c r="A26" s="18" t="s">
        <v>118</v>
      </c>
      <c r="B26" s="19"/>
      <c r="C26" s="19"/>
      <c r="D26" s="20"/>
    </row>
    <row r="27" ht="16.5" customHeight="1">
      <c r="A27" s="61" t="s">
        <v>119</v>
      </c>
      <c r="B27" s="68" t="s">
        <v>120</v>
      </c>
      <c r="C27" s="63" t="s">
        <v>79</v>
      </c>
      <c r="D27" s="64" t="s">
        <v>121</v>
      </c>
    </row>
    <row r="28" ht="16.5" customHeight="1">
      <c r="A28" s="55" t="s">
        <v>122</v>
      </c>
      <c r="B28" s="66">
        <v>0.0</v>
      </c>
      <c r="C28" s="57" t="s">
        <v>111</v>
      </c>
      <c r="D28" s="58" t="s">
        <v>121</v>
      </c>
    </row>
    <row r="29" ht="30.0" customHeight="1">
      <c r="A29" s="4" t="s">
        <v>123</v>
      </c>
      <c r="B29" s="69">
        <f>B28</f>
        <v>0</v>
      </c>
      <c r="C29" s="11" t="s">
        <v>111</v>
      </c>
      <c r="D29" s="11" t="s">
        <v>124</v>
      </c>
    </row>
    <row r="30" ht="16.5" customHeight="1">
      <c r="A30" s="4" t="s">
        <v>125</v>
      </c>
      <c r="B30" s="59">
        <v>0.5</v>
      </c>
      <c r="C30" s="11" t="s">
        <v>102</v>
      </c>
      <c r="D30" s="11" t="s">
        <v>126</v>
      </c>
    </row>
    <row r="31" ht="16.5" customHeight="1">
      <c r="A31" s="4" t="s">
        <v>127</v>
      </c>
      <c r="B31" s="65">
        <v>0.0</v>
      </c>
      <c r="C31" s="11" t="s">
        <v>111</v>
      </c>
      <c r="D31" s="11" t="s">
        <v>128</v>
      </c>
    </row>
    <row r="32" ht="16.5" customHeight="1">
      <c r="A32" s="4" t="s">
        <v>129</v>
      </c>
      <c r="B32" s="65">
        <v>0.0</v>
      </c>
      <c r="C32" s="11" t="s">
        <v>111</v>
      </c>
      <c r="D32" s="11" t="s">
        <v>130</v>
      </c>
    </row>
    <row r="33" ht="16.5" customHeight="1">
      <c r="A33" s="4"/>
      <c r="B33" s="65"/>
      <c r="C33" s="11"/>
      <c r="D33" s="11"/>
    </row>
    <row r="34" ht="16.5" customHeight="1">
      <c r="A34" s="18" t="s">
        <v>131</v>
      </c>
      <c r="B34" s="19"/>
      <c r="C34" s="19"/>
      <c r="D34" s="20"/>
    </row>
    <row r="35" ht="16.5" customHeight="1">
      <c r="A35" s="55" t="s">
        <v>132</v>
      </c>
      <c r="B35" s="66">
        <v>0.0</v>
      </c>
      <c r="C35" s="57" t="s">
        <v>111</v>
      </c>
      <c r="D35" s="58" t="s">
        <v>133</v>
      </c>
    </row>
    <row r="36" ht="16.5" customHeight="1">
      <c r="A36" s="4" t="s">
        <v>134</v>
      </c>
      <c r="B36" s="65">
        <v>5.0</v>
      </c>
      <c r="C36" s="11" t="s">
        <v>135</v>
      </c>
      <c r="D36" s="11" t="s">
        <v>136</v>
      </c>
    </row>
    <row r="37" ht="16.5" customHeight="1">
      <c r="A37" s="4" t="s">
        <v>137</v>
      </c>
      <c r="B37" s="59">
        <v>0.8</v>
      </c>
      <c r="C37" s="11" t="s">
        <v>102</v>
      </c>
      <c r="D37" s="11" t="s">
        <v>138</v>
      </c>
    </row>
    <row r="38" ht="16.5" customHeight="1">
      <c r="A38" s="4" t="s">
        <v>139</v>
      </c>
      <c r="B38" s="65">
        <f>IF(B36&gt;0,B35/B36,0)</f>
        <v>0</v>
      </c>
      <c r="C38" s="11" t="s">
        <v>111</v>
      </c>
      <c r="D38" s="11" t="s">
        <v>140</v>
      </c>
    </row>
    <row r="39" ht="16.5" customHeight="1">
      <c r="A39" s="4" t="s">
        <v>141</v>
      </c>
      <c r="B39" s="70">
        <f>B38*B37</f>
        <v>0</v>
      </c>
      <c r="C39" s="11" t="s">
        <v>111</v>
      </c>
      <c r="D39" s="11" t="s">
        <v>124</v>
      </c>
    </row>
    <row r="40" ht="16.5" customHeight="1">
      <c r="A40" s="71"/>
      <c r="B40" s="69"/>
      <c r="C40" s="54"/>
      <c r="D40" s="54"/>
    </row>
    <row r="41" ht="16.5" customHeight="1">
      <c r="A41" s="49" t="s">
        <v>142</v>
      </c>
      <c r="B41" s="19"/>
      <c r="C41" s="19"/>
      <c r="D41" s="20"/>
    </row>
    <row r="42" ht="16.5" customHeight="1">
      <c r="A42" s="4" t="s">
        <v>36</v>
      </c>
      <c r="B42" s="65">
        <v>0.0</v>
      </c>
      <c r="C42" s="11" t="s">
        <v>111</v>
      </c>
      <c r="D42" s="11" t="s">
        <v>143</v>
      </c>
    </row>
    <row r="43" ht="16.5" customHeight="1">
      <c r="A43" s="4" t="s">
        <v>38</v>
      </c>
      <c r="B43" s="65">
        <v>0.0</v>
      </c>
      <c r="C43" s="11" t="s">
        <v>111</v>
      </c>
      <c r="D43" s="11" t="s">
        <v>144</v>
      </c>
    </row>
    <row r="44" ht="16.5" customHeight="1">
      <c r="A44" s="71"/>
      <c r="B44" s="69"/>
      <c r="C44" s="54"/>
      <c r="D44" s="54"/>
    </row>
    <row r="45" ht="16.5" customHeight="1">
      <c r="A45" s="49" t="s">
        <v>145</v>
      </c>
      <c r="B45" s="19"/>
      <c r="C45" s="19"/>
      <c r="D45" s="20"/>
    </row>
    <row r="46" ht="30.0" customHeight="1">
      <c r="A46" s="4" t="s">
        <v>146</v>
      </c>
      <c r="B46" s="65">
        <v>0.0</v>
      </c>
      <c r="C46" s="11" t="s">
        <v>111</v>
      </c>
      <c r="D46" s="11" t="s">
        <v>147</v>
      </c>
    </row>
    <row r="47" ht="16.5" customHeight="1">
      <c r="A47" s="4" t="s">
        <v>148</v>
      </c>
      <c r="B47" s="72">
        <v>0.2</v>
      </c>
      <c r="C47" s="11" t="s">
        <v>102</v>
      </c>
      <c r="D47" s="11" t="s">
        <v>149</v>
      </c>
    </row>
    <row r="48" ht="16.5" customHeight="1">
      <c r="A48" s="73"/>
      <c r="B48" s="74"/>
      <c r="C48" s="25"/>
      <c r="D48" s="25"/>
    </row>
    <row r="49" ht="16.5" customHeight="1">
      <c r="A49" s="75" t="s">
        <v>25</v>
      </c>
      <c r="B49" s="76">
        <v>0.0</v>
      </c>
      <c r="C49" s="77" t="s">
        <v>111</v>
      </c>
      <c r="D49" s="78" t="s">
        <v>150</v>
      </c>
    </row>
    <row r="50" ht="16.5" customHeight="1">
      <c r="A50" s="79" t="s">
        <v>151</v>
      </c>
      <c r="B50" s="65">
        <v>500.0</v>
      </c>
      <c r="C50" s="11" t="s">
        <v>111</v>
      </c>
      <c r="D50" s="80" t="s">
        <v>152</v>
      </c>
    </row>
    <row r="51" ht="16.5" customHeight="1">
      <c r="A51" s="79" t="s">
        <v>153</v>
      </c>
      <c r="B51" s="65">
        <v>1000.0</v>
      </c>
      <c r="C51" s="11" t="s">
        <v>111</v>
      </c>
      <c r="D51" s="80" t="s">
        <v>154</v>
      </c>
    </row>
    <row r="52" ht="16.5" customHeight="1">
      <c r="A52" s="79" t="s">
        <v>155</v>
      </c>
      <c r="B52" s="65">
        <v>3.0</v>
      </c>
      <c r="C52" s="11" t="s">
        <v>156</v>
      </c>
      <c r="D52" s="80" t="s">
        <v>157</v>
      </c>
    </row>
    <row r="53" ht="16.5" customHeight="1">
      <c r="A53" s="79" t="s">
        <v>158</v>
      </c>
      <c r="B53" s="65">
        <v>200.0</v>
      </c>
      <c r="C53" s="11" t="s">
        <v>111</v>
      </c>
      <c r="D53" s="80" t="s">
        <v>159</v>
      </c>
    </row>
    <row r="54" ht="16.5" customHeight="1">
      <c r="A54" s="79" t="s">
        <v>28</v>
      </c>
      <c r="B54" s="65">
        <v>200.0</v>
      </c>
      <c r="C54" s="11" t="s">
        <v>111</v>
      </c>
      <c r="D54" s="80" t="s">
        <v>160</v>
      </c>
    </row>
    <row r="55" ht="16.5" customHeight="1">
      <c r="A55" s="81" t="s">
        <v>29</v>
      </c>
      <c r="B55" s="82">
        <v>200.0</v>
      </c>
      <c r="C55" s="83" t="s">
        <v>111</v>
      </c>
      <c r="D55" s="84" t="s">
        <v>161</v>
      </c>
    </row>
    <row r="56" ht="16.5" customHeight="1">
      <c r="A56" s="4" t="s">
        <v>162</v>
      </c>
      <c r="B56" s="65">
        <v>400.0</v>
      </c>
      <c r="C56" s="11" t="s">
        <v>111</v>
      </c>
      <c r="D56" s="11" t="s">
        <v>163</v>
      </c>
    </row>
    <row r="57" ht="16.5" customHeight="1">
      <c r="A57" s="4"/>
      <c r="B57" s="65"/>
      <c r="C57" s="11"/>
      <c r="D57" s="11"/>
    </row>
    <row r="58" ht="16.5" customHeight="1">
      <c r="A58" s="55"/>
      <c r="B58" s="57"/>
      <c r="C58" s="57"/>
      <c r="D58" s="58"/>
    </row>
    <row r="59" ht="43.5" customHeight="1">
      <c r="A59" s="18" t="s">
        <v>164</v>
      </c>
      <c r="B59" s="19"/>
      <c r="C59" s="19"/>
      <c r="D59" s="20"/>
    </row>
    <row r="60" ht="43.5" customHeight="1">
      <c r="A60" s="4" t="s">
        <v>3</v>
      </c>
      <c r="B60" s="85">
        <v>0.0</v>
      </c>
      <c r="C60" s="5" t="s">
        <v>111</v>
      </c>
      <c r="D60" s="5" t="s">
        <v>165</v>
      </c>
    </row>
    <row r="61" ht="43.5" customHeight="1">
      <c r="A61" s="4" t="s">
        <v>4</v>
      </c>
      <c r="B61" s="85">
        <v>500.0</v>
      </c>
      <c r="C61" s="5" t="s">
        <v>111</v>
      </c>
      <c r="D61" s="5" t="s">
        <v>166</v>
      </c>
    </row>
    <row r="62" ht="43.5" customHeight="1">
      <c r="A62" s="4" t="s">
        <v>5</v>
      </c>
      <c r="B62" s="85" t="s">
        <v>167</v>
      </c>
      <c r="C62" s="5" t="s">
        <v>111</v>
      </c>
      <c r="D62" s="5" t="s">
        <v>168</v>
      </c>
    </row>
    <row r="63" ht="43.5" customHeight="1">
      <c r="A63" s="4" t="s">
        <v>6</v>
      </c>
      <c r="B63" s="85" t="s">
        <v>169</v>
      </c>
      <c r="C63" s="5" t="s">
        <v>111</v>
      </c>
      <c r="D63" s="5" t="s">
        <v>170</v>
      </c>
    </row>
    <row r="64" ht="16.5" customHeight="1">
      <c r="A64" s="4" t="s">
        <v>7</v>
      </c>
      <c r="B64" s="86" t="s">
        <v>171</v>
      </c>
      <c r="C64" s="11" t="s">
        <v>111</v>
      </c>
      <c r="D64" s="11" t="s">
        <v>172</v>
      </c>
    </row>
    <row r="65" ht="16.5" customHeight="1">
      <c r="A65" s="71"/>
      <c r="B65" s="87"/>
      <c r="C65" s="54"/>
      <c r="D65" s="54"/>
    </row>
    <row r="66" ht="16.5" customHeight="1">
      <c r="A66" s="88"/>
      <c r="B66" s="89"/>
      <c r="C66" s="89"/>
      <c r="D66" s="90"/>
    </row>
    <row r="67" ht="51.0" customHeight="1">
      <c r="A67" s="91"/>
      <c r="B67" s="92"/>
      <c r="C67" s="93"/>
      <c r="D67" s="93"/>
    </row>
    <row r="68" ht="51.0" customHeight="1">
      <c r="A68" s="91"/>
      <c r="B68" s="92"/>
      <c r="C68" s="93"/>
      <c r="D68" s="93"/>
    </row>
    <row r="69" ht="51.0" customHeight="1">
      <c r="A69" s="91"/>
      <c r="B69" s="92"/>
      <c r="C69" s="93"/>
      <c r="D69" s="93"/>
    </row>
    <row r="70" ht="51.0" customHeight="1">
      <c r="A70" s="91"/>
      <c r="B70" s="92"/>
      <c r="C70" s="93"/>
      <c r="D70" s="93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173</v>
      </c>
    </row>
    <row r="2" ht="31.5" customHeight="1">
      <c r="A2" s="2" t="s">
        <v>174</v>
      </c>
    </row>
    <row r="3" ht="16.5" customHeight="1">
      <c r="A3" s="94" t="s">
        <v>175</v>
      </c>
      <c r="B3" s="95" t="str">
        <f>Assumptions!$B$8</f>
        <v>Client choice pending</v>
      </c>
    </row>
    <row r="4" ht="16.5" customHeight="1">
      <c r="A4" s="94" t="s">
        <v>176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3" t="s">
        <v>182</v>
      </c>
      <c r="G6" s="3" t="s">
        <v>183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  <c r="M6" s="3" t="s">
        <v>189</v>
      </c>
      <c r="N6" s="3" t="s">
        <v>190</v>
      </c>
    </row>
    <row r="7" ht="16.5" customHeight="1">
      <c r="A7" s="11" t="s">
        <v>191</v>
      </c>
      <c r="B7" s="11" t="s">
        <v>192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6" t="s">
        <v>193</v>
      </c>
      <c r="B8" s="97" t="s">
        <v>194</v>
      </c>
      <c r="C8" s="98">
        <f t="array" ref="C8:N8">Assumptions!$B$22/12+COLUMN(C6:N6)*0</f>
        <v>5000</v>
      </c>
      <c r="D8" s="98">
        <v>5000.0</v>
      </c>
      <c r="E8" s="98">
        <v>5000.0</v>
      </c>
      <c r="F8" s="98">
        <v>5000.0</v>
      </c>
      <c r="G8" s="98">
        <v>5000.0</v>
      </c>
      <c r="H8" s="98">
        <v>5000.0</v>
      </c>
      <c r="I8" s="98">
        <v>5000.0</v>
      </c>
      <c r="J8" s="98">
        <v>5000.0</v>
      </c>
      <c r="K8" s="98">
        <v>5000.0</v>
      </c>
      <c r="L8" s="98">
        <v>5000.0</v>
      </c>
      <c r="M8" s="98">
        <v>5000.0</v>
      </c>
      <c r="N8" s="98">
        <v>5000.0</v>
      </c>
    </row>
    <row r="9" ht="16.5" customHeight="1">
      <c r="A9" s="11" t="s">
        <v>195</v>
      </c>
      <c r="B9" s="99" t="s">
        <v>196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6" t="s">
        <v>197</v>
      </c>
      <c r="B10" s="97" t="s">
        <v>175</v>
      </c>
      <c r="C10" s="98" t="str">
        <f t="array" ref="C10:N10">IFERROR(INDEX('Savings comparison'!$C$23:$F$23,1,MATCH($B$3,'Savings comparison'!$C$4:$F$4,0))/12+COLUMN(C6:N6)*0,"")</f>
        <v/>
      </c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</row>
    <row r="11" ht="16.5" customHeight="1">
      <c r="A11" s="11" t="s">
        <v>198</v>
      </c>
      <c r="B11" s="99" t="s">
        <v>175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199</v>
      </c>
      <c r="B12" s="99" t="s">
        <v>175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99" t="s">
        <v>175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200</v>
      </c>
      <c r="B14" s="99" t="s">
        <v>175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201</v>
      </c>
      <c r="B15" s="99" t="s">
        <v>175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54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202</v>
      </c>
      <c r="B17" s="99" t="s">
        <v>203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4" t="s">
        <v>204</v>
      </c>
      <c r="B18" s="100" t="s">
        <v>205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4" t="s">
        <v>206</v>
      </c>
      <c r="B19" s="100" t="s">
        <v>203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5"/>
      <c r="B20" s="10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4" t="s">
        <v>77</v>
      </c>
      <c r="B21" s="100" t="s">
        <v>207</v>
      </c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</row>
    <row r="22" ht="16.5" customHeight="1">
      <c r="A22" s="95"/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1"/>
      <c r="N22" s="101"/>
    </row>
    <row r="23" ht="16.5" customHeight="1">
      <c r="A23" s="95"/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1"/>
      <c r="N23" s="101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2" t="s">
        <v>208</v>
      </c>
    </row>
    <row r="2">
      <c r="A2" s="103" t="s">
        <v>209</v>
      </c>
      <c r="B2" s="104">
        <f>'Savings comparison'!C19</f>
        <v>500</v>
      </c>
      <c r="C2" s="105" t="s">
        <v>210</v>
      </c>
      <c r="D2" s="104">
        <f>SUMIF(A6:A17,TRUE,D6:D17)</f>
        <v>824</v>
      </c>
      <c r="E2" s="103" t="s">
        <v>211</v>
      </c>
      <c r="F2" s="106">
        <v>46185.0</v>
      </c>
      <c r="G2" s="107"/>
    </row>
    <row r="3">
      <c r="A3" s="103" t="s">
        <v>212</v>
      </c>
    </row>
    <row r="4">
      <c r="A4" s="107"/>
      <c r="B4" s="107"/>
      <c r="C4" s="107"/>
      <c r="D4" s="107"/>
      <c r="E4" s="107"/>
      <c r="F4" s="107"/>
      <c r="G4" s="107"/>
    </row>
    <row r="5">
      <c r="A5" s="108" t="s">
        <v>213</v>
      </c>
      <c r="B5" s="108" t="s">
        <v>214</v>
      </c>
      <c r="C5" s="108" t="s">
        <v>215</v>
      </c>
      <c r="D5" s="108" t="s">
        <v>216</v>
      </c>
      <c r="E5" s="108" t="s">
        <v>217</v>
      </c>
      <c r="F5" s="108" t="s">
        <v>218</v>
      </c>
      <c r="G5" s="108" t="s">
        <v>219</v>
      </c>
    </row>
    <row r="6">
      <c r="A6" s="103" t="b">
        <v>1</v>
      </c>
      <c r="B6" s="103" t="s">
        <v>220</v>
      </c>
      <c r="C6" s="103" t="s">
        <v>221</v>
      </c>
      <c r="D6" s="105">
        <v>824.0</v>
      </c>
      <c r="E6" s="103" t="s">
        <v>222</v>
      </c>
      <c r="F6" s="103" t="s">
        <v>223</v>
      </c>
      <c r="G6" s="103" t="s">
        <v>224</v>
      </c>
    </row>
    <row r="7">
      <c r="A7" s="103" t="b">
        <v>0</v>
      </c>
      <c r="B7" s="103" t="s">
        <v>225</v>
      </c>
      <c r="C7" s="103" t="s">
        <v>226</v>
      </c>
      <c r="D7" s="105">
        <v>2028.0</v>
      </c>
      <c r="E7" s="103" t="s">
        <v>227</v>
      </c>
      <c r="F7" s="109" t="s">
        <v>228</v>
      </c>
      <c r="G7" s="103" t="s">
        <v>229</v>
      </c>
    </row>
    <row r="8">
      <c r="A8" s="103" t="b">
        <v>0</v>
      </c>
      <c r="B8" s="103" t="s">
        <v>230</v>
      </c>
      <c r="C8" s="103" t="s">
        <v>231</v>
      </c>
      <c r="D8" s="105">
        <v>540.0</v>
      </c>
      <c r="E8" s="103" t="s">
        <v>232</v>
      </c>
      <c r="F8" s="109" t="s">
        <v>233</v>
      </c>
      <c r="G8" s="103" t="s">
        <v>234</v>
      </c>
    </row>
    <row r="9">
      <c r="A9" s="103" t="b">
        <v>0</v>
      </c>
      <c r="B9" s="103" t="s">
        <v>235</v>
      </c>
      <c r="C9" s="103" t="s">
        <v>236</v>
      </c>
      <c r="D9" s="105">
        <v>1949.0</v>
      </c>
      <c r="E9" s="103" t="s">
        <v>237</v>
      </c>
      <c r="F9" s="103" t="s">
        <v>238</v>
      </c>
      <c r="G9" s="103" t="s">
        <v>239</v>
      </c>
    </row>
    <row r="10">
      <c r="A10" s="103" t="b">
        <v>0</v>
      </c>
      <c r="B10" s="103" t="s">
        <v>240</v>
      </c>
      <c r="C10" s="103" t="s">
        <v>241</v>
      </c>
      <c r="D10" s="105">
        <v>240.0</v>
      </c>
      <c r="E10" s="103" t="s">
        <v>242</v>
      </c>
      <c r="F10" s="103" t="s">
        <v>243</v>
      </c>
      <c r="G10" s="103" t="s">
        <v>244</v>
      </c>
    </row>
    <row r="11">
      <c r="A11" s="103" t="b">
        <v>0</v>
      </c>
      <c r="B11" s="103" t="s">
        <v>245</v>
      </c>
      <c r="C11" s="103" t="s">
        <v>246</v>
      </c>
      <c r="D11" s="105">
        <v>400.0</v>
      </c>
      <c r="E11" s="103" t="s">
        <v>247</v>
      </c>
      <c r="F11" s="103" t="s">
        <v>248</v>
      </c>
      <c r="G11" s="103" t="s">
        <v>249</v>
      </c>
    </row>
    <row r="12">
      <c r="A12" s="103" t="b">
        <v>0</v>
      </c>
      <c r="B12" s="103" t="s">
        <v>250</v>
      </c>
      <c r="C12" s="103" t="s">
        <v>246</v>
      </c>
      <c r="D12" s="105">
        <v>350.0</v>
      </c>
      <c r="E12" s="103" t="s">
        <v>247</v>
      </c>
      <c r="F12" s="103" t="s">
        <v>251</v>
      </c>
      <c r="G12" s="103" t="s">
        <v>252</v>
      </c>
    </row>
    <row r="13">
      <c r="A13" s="103" t="b">
        <v>0</v>
      </c>
      <c r="B13" s="103" t="s">
        <v>253</v>
      </c>
      <c r="C13" s="103" t="s">
        <v>246</v>
      </c>
      <c r="D13" s="105">
        <v>350.0</v>
      </c>
      <c r="E13" s="103" t="s">
        <v>247</v>
      </c>
      <c r="F13" s="103" t="s">
        <v>251</v>
      </c>
      <c r="G13" s="103" t="s">
        <v>254</v>
      </c>
    </row>
    <row r="14">
      <c r="A14" s="103" t="b">
        <v>0</v>
      </c>
      <c r="B14" s="103" t="s">
        <v>255</v>
      </c>
      <c r="C14" s="103" t="s">
        <v>246</v>
      </c>
      <c r="D14" s="105">
        <v>350.0</v>
      </c>
      <c r="E14" s="103" t="s">
        <v>247</v>
      </c>
      <c r="F14" s="103" t="s">
        <v>251</v>
      </c>
      <c r="G14" s="103" t="s">
        <v>256</v>
      </c>
    </row>
    <row r="15">
      <c r="A15" s="103" t="b">
        <v>0</v>
      </c>
      <c r="B15" s="103" t="s">
        <v>257</v>
      </c>
      <c r="C15" s="103" t="s">
        <v>258</v>
      </c>
      <c r="D15" s="105">
        <v>500.0</v>
      </c>
      <c r="E15" s="103" t="s">
        <v>247</v>
      </c>
      <c r="F15" s="103" t="s">
        <v>251</v>
      </c>
      <c r="G15" s="103" t="s">
        <v>256</v>
      </c>
    </row>
    <row r="16">
      <c r="A16" s="103" t="b">
        <v>0</v>
      </c>
      <c r="B16" s="103" t="s">
        <v>259</v>
      </c>
      <c r="C16" s="103" t="s">
        <v>260</v>
      </c>
      <c r="D16" s="105">
        <v>1000.0</v>
      </c>
      <c r="E16" s="103" t="s">
        <v>247</v>
      </c>
      <c r="F16" s="103" t="s">
        <v>251</v>
      </c>
      <c r="G16" s="103" t="s">
        <v>261</v>
      </c>
    </row>
    <row r="17">
      <c r="A17" s="103" t="b">
        <v>0</v>
      </c>
      <c r="B17" s="103" t="s">
        <v>262</v>
      </c>
      <c r="C17" s="103" t="s">
        <v>263</v>
      </c>
      <c r="D17" s="105">
        <v>500.0</v>
      </c>
      <c r="E17" s="103" t="s">
        <v>247</v>
      </c>
      <c r="F17" s="103" t="s">
        <v>264</v>
      </c>
      <c r="G17" s="103" t="s">
        <v>265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2" t="s">
        <v>266</v>
      </c>
    </row>
    <row r="2">
      <c r="A2" s="103" t="s">
        <v>209</v>
      </c>
      <c r="B2" s="104">
        <f>'Savings comparison'!D19</f>
        <v>1000</v>
      </c>
      <c r="C2" s="105" t="s">
        <v>210</v>
      </c>
      <c r="D2" s="104">
        <f>SUMIF(A6:A17,TRUE,D6:D17)</f>
        <v>7031</v>
      </c>
      <c r="E2" s="103" t="s">
        <v>211</v>
      </c>
      <c r="F2" s="106">
        <v>46185.0</v>
      </c>
      <c r="G2" s="107"/>
    </row>
    <row r="3">
      <c r="A3" s="103" t="s">
        <v>212</v>
      </c>
    </row>
    <row r="4">
      <c r="A4" s="107"/>
      <c r="B4" s="107"/>
      <c r="C4" s="107"/>
      <c r="D4" s="107"/>
      <c r="E4" s="107"/>
      <c r="F4" s="107"/>
      <c r="G4" s="107"/>
    </row>
    <row r="5">
      <c r="A5" s="108" t="s">
        <v>213</v>
      </c>
      <c r="B5" s="108" t="s">
        <v>214</v>
      </c>
      <c r="C5" s="108" t="s">
        <v>215</v>
      </c>
      <c r="D5" s="108" t="s">
        <v>216</v>
      </c>
      <c r="E5" s="108" t="s">
        <v>217</v>
      </c>
      <c r="F5" s="108" t="s">
        <v>218</v>
      </c>
      <c r="G5" s="108" t="s">
        <v>219</v>
      </c>
    </row>
    <row r="6">
      <c r="A6" s="103" t="b">
        <v>1</v>
      </c>
      <c r="B6" s="103" t="s">
        <v>220</v>
      </c>
      <c r="C6" s="103" t="s">
        <v>267</v>
      </c>
      <c r="D6" s="105">
        <v>824.0</v>
      </c>
      <c r="E6" s="103" t="s">
        <v>222</v>
      </c>
      <c r="F6" s="103" t="s">
        <v>223</v>
      </c>
      <c r="G6" s="103" t="s">
        <v>224</v>
      </c>
    </row>
    <row r="7">
      <c r="A7" s="103" t="b">
        <v>1</v>
      </c>
      <c r="B7" s="103" t="s">
        <v>225</v>
      </c>
      <c r="C7" s="103" t="s">
        <v>268</v>
      </c>
      <c r="D7" s="105">
        <v>2028.0</v>
      </c>
      <c r="E7" s="103" t="s">
        <v>227</v>
      </c>
      <c r="F7" s="109" t="s">
        <v>228</v>
      </c>
      <c r="G7" s="103" t="s">
        <v>229</v>
      </c>
    </row>
    <row r="8">
      <c r="A8" s="103" t="b">
        <v>1</v>
      </c>
      <c r="B8" s="103" t="s">
        <v>230</v>
      </c>
      <c r="C8" s="103" t="s">
        <v>269</v>
      </c>
      <c r="D8" s="105">
        <v>540.0</v>
      </c>
      <c r="E8" s="103" t="s">
        <v>232</v>
      </c>
      <c r="F8" s="109" t="s">
        <v>233</v>
      </c>
      <c r="G8" s="103" t="s">
        <v>234</v>
      </c>
    </row>
    <row r="9">
      <c r="A9" s="103" t="b">
        <v>1</v>
      </c>
      <c r="B9" s="103" t="s">
        <v>235</v>
      </c>
      <c r="C9" s="103" t="s">
        <v>270</v>
      </c>
      <c r="D9" s="105">
        <v>1949.0</v>
      </c>
      <c r="E9" s="103" t="s">
        <v>237</v>
      </c>
      <c r="F9" s="103" t="s">
        <v>238</v>
      </c>
      <c r="G9" s="103" t="s">
        <v>239</v>
      </c>
    </row>
    <row r="10">
      <c r="A10" s="103" t="b">
        <v>1</v>
      </c>
      <c r="B10" s="103" t="s">
        <v>240</v>
      </c>
      <c r="C10" s="103" t="s">
        <v>271</v>
      </c>
      <c r="D10" s="105">
        <v>240.0</v>
      </c>
      <c r="E10" s="103" t="s">
        <v>242</v>
      </c>
      <c r="F10" s="103" t="s">
        <v>243</v>
      </c>
      <c r="G10" s="103" t="s">
        <v>244</v>
      </c>
    </row>
    <row r="11">
      <c r="A11" s="103" t="b">
        <v>1</v>
      </c>
      <c r="B11" s="103" t="s">
        <v>245</v>
      </c>
      <c r="C11" s="103" t="s">
        <v>272</v>
      </c>
      <c r="D11" s="105">
        <v>400.0</v>
      </c>
      <c r="E11" s="103" t="s">
        <v>247</v>
      </c>
      <c r="F11" s="103" t="s">
        <v>248</v>
      </c>
      <c r="G11" s="103" t="s">
        <v>249</v>
      </c>
    </row>
    <row r="12">
      <c r="A12" s="103" t="b">
        <v>1</v>
      </c>
      <c r="B12" s="103" t="s">
        <v>250</v>
      </c>
      <c r="C12" s="103" t="s">
        <v>273</v>
      </c>
      <c r="D12" s="105">
        <v>350.0</v>
      </c>
      <c r="E12" s="103" t="s">
        <v>247</v>
      </c>
      <c r="F12" s="103" t="s">
        <v>251</v>
      </c>
      <c r="G12" s="103" t="s">
        <v>252</v>
      </c>
    </row>
    <row r="13">
      <c r="A13" s="103" t="b">
        <v>1</v>
      </c>
      <c r="B13" s="103" t="s">
        <v>253</v>
      </c>
      <c r="C13" s="103" t="s">
        <v>274</v>
      </c>
      <c r="D13" s="105">
        <v>350.0</v>
      </c>
      <c r="E13" s="103" t="s">
        <v>247</v>
      </c>
      <c r="F13" s="103" t="s">
        <v>251</v>
      </c>
      <c r="G13" s="103" t="s">
        <v>254</v>
      </c>
    </row>
    <row r="14">
      <c r="A14" s="103" t="b">
        <v>1</v>
      </c>
      <c r="B14" s="103" t="s">
        <v>255</v>
      </c>
      <c r="C14" s="103" t="s">
        <v>275</v>
      </c>
      <c r="D14" s="105">
        <v>350.0</v>
      </c>
      <c r="E14" s="103" t="s">
        <v>247</v>
      </c>
      <c r="F14" s="103" t="s">
        <v>251</v>
      </c>
      <c r="G14" s="103" t="s">
        <v>256</v>
      </c>
    </row>
    <row r="15">
      <c r="A15" s="103" t="b">
        <v>0</v>
      </c>
      <c r="B15" s="103" t="s">
        <v>257</v>
      </c>
      <c r="C15" s="103" t="s">
        <v>276</v>
      </c>
      <c r="D15" s="105">
        <v>500.0</v>
      </c>
      <c r="E15" s="103" t="s">
        <v>247</v>
      </c>
      <c r="F15" s="103" t="s">
        <v>251</v>
      </c>
      <c r="G15" s="103" t="s">
        <v>256</v>
      </c>
    </row>
    <row r="16">
      <c r="A16" s="103" t="b">
        <v>0</v>
      </c>
      <c r="B16" s="103" t="s">
        <v>259</v>
      </c>
      <c r="C16" s="103" t="s">
        <v>277</v>
      </c>
      <c r="D16" s="105">
        <v>1000.0</v>
      </c>
      <c r="E16" s="103" t="s">
        <v>247</v>
      </c>
      <c r="F16" s="103" t="s">
        <v>251</v>
      </c>
      <c r="G16" s="103" t="s">
        <v>261</v>
      </c>
    </row>
    <row r="17">
      <c r="A17" s="103" t="b">
        <v>0</v>
      </c>
      <c r="B17" s="103" t="s">
        <v>262</v>
      </c>
      <c r="C17" s="103" t="s">
        <v>278</v>
      </c>
      <c r="D17" s="105">
        <v>500.0</v>
      </c>
      <c r="E17" s="103" t="s">
        <v>247</v>
      </c>
      <c r="F17" s="103" t="s">
        <v>264</v>
      </c>
      <c r="G17" s="103" t="s">
        <v>265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2" t="s">
        <v>279</v>
      </c>
    </row>
    <row r="2">
      <c r="A2" s="103" t="s">
        <v>209</v>
      </c>
      <c r="B2" s="104">
        <f>'Savings comparison'!E19</f>
        <v>1200</v>
      </c>
      <c r="C2" s="105" t="s">
        <v>210</v>
      </c>
      <c r="D2" s="104">
        <f>SUMIF(A6:A17,TRUE,D6:D17)</f>
        <v>7531</v>
      </c>
      <c r="E2" s="103" t="s">
        <v>211</v>
      </c>
      <c r="F2" s="106">
        <v>46185.0</v>
      </c>
      <c r="G2" s="107"/>
    </row>
    <row r="3">
      <c r="A3" s="103" t="s">
        <v>212</v>
      </c>
    </row>
    <row r="4">
      <c r="A4" s="107"/>
      <c r="B4" s="107"/>
      <c r="C4" s="107"/>
      <c r="D4" s="107"/>
      <c r="E4" s="107"/>
      <c r="F4" s="107"/>
      <c r="G4" s="107"/>
    </row>
    <row r="5">
      <c r="A5" s="108" t="s">
        <v>213</v>
      </c>
      <c r="B5" s="108" t="s">
        <v>214</v>
      </c>
      <c r="C5" s="108" t="s">
        <v>215</v>
      </c>
      <c r="D5" s="108" t="s">
        <v>216</v>
      </c>
      <c r="E5" s="108" t="s">
        <v>217</v>
      </c>
      <c r="F5" s="108" t="s">
        <v>218</v>
      </c>
      <c r="G5" s="108" t="s">
        <v>219</v>
      </c>
    </row>
    <row r="6">
      <c r="A6" s="103" t="b">
        <v>1</v>
      </c>
      <c r="B6" s="103" t="s">
        <v>220</v>
      </c>
      <c r="C6" s="103" t="s">
        <v>267</v>
      </c>
      <c r="D6" s="105">
        <v>824.0</v>
      </c>
      <c r="E6" s="103" t="s">
        <v>222</v>
      </c>
      <c r="F6" s="103" t="s">
        <v>223</v>
      </c>
      <c r="G6" s="103" t="s">
        <v>224</v>
      </c>
    </row>
    <row r="7">
      <c r="A7" s="103" t="b">
        <v>1</v>
      </c>
      <c r="B7" s="103" t="s">
        <v>225</v>
      </c>
      <c r="C7" s="103" t="s">
        <v>268</v>
      </c>
      <c r="D7" s="105">
        <v>2028.0</v>
      </c>
      <c r="E7" s="103" t="s">
        <v>227</v>
      </c>
      <c r="F7" s="109" t="s">
        <v>228</v>
      </c>
      <c r="G7" s="103" t="s">
        <v>229</v>
      </c>
    </row>
    <row r="8">
      <c r="A8" s="103" t="b">
        <v>1</v>
      </c>
      <c r="B8" s="103" t="s">
        <v>230</v>
      </c>
      <c r="C8" s="103" t="s">
        <v>269</v>
      </c>
      <c r="D8" s="105">
        <v>540.0</v>
      </c>
      <c r="E8" s="103" t="s">
        <v>232</v>
      </c>
      <c r="F8" s="109" t="s">
        <v>233</v>
      </c>
      <c r="G8" s="103" t="s">
        <v>234</v>
      </c>
    </row>
    <row r="9">
      <c r="A9" s="103" t="b">
        <v>1</v>
      </c>
      <c r="B9" s="103" t="s">
        <v>235</v>
      </c>
      <c r="C9" s="103" t="s">
        <v>270</v>
      </c>
      <c r="D9" s="105">
        <v>1949.0</v>
      </c>
      <c r="E9" s="103" t="s">
        <v>237</v>
      </c>
      <c r="F9" s="103" t="s">
        <v>238</v>
      </c>
      <c r="G9" s="103" t="s">
        <v>239</v>
      </c>
    </row>
    <row r="10">
      <c r="A10" s="103" t="b">
        <v>1</v>
      </c>
      <c r="B10" s="103" t="s">
        <v>240</v>
      </c>
      <c r="C10" s="103" t="s">
        <v>271</v>
      </c>
      <c r="D10" s="105">
        <v>240.0</v>
      </c>
      <c r="E10" s="103" t="s">
        <v>242</v>
      </c>
      <c r="F10" s="103" t="s">
        <v>243</v>
      </c>
      <c r="G10" s="103" t="s">
        <v>244</v>
      </c>
    </row>
    <row r="11">
      <c r="A11" s="103" t="b">
        <v>1</v>
      </c>
      <c r="B11" s="103" t="s">
        <v>245</v>
      </c>
      <c r="C11" s="103" t="s">
        <v>272</v>
      </c>
      <c r="D11" s="105">
        <v>400.0</v>
      </c>
      <c r="E11" s="103" t="s">
        <v>247</v>
      </c>
      <c r="F11" s="103" t="s">
        <v>248</v>
      </c>
      <c r="G11" s="103" t="s">
        <v>249</v>
      </c>
    </row>
    <row r="12">
      <c r="A12" s="103" t="b">
        <v>1</v>
      </c>
      <c r="B12" s="103" t="s">
        <v>250</v>
      </c>
      <c r="C12" s="103" t="s">
        <v>273</v>
      </c>
      <c r="D12" s="105">
        <v>350.0</v>
      </c>
      <c r="E12" s="103" t="s">
        <v>247</v>
      </c>
      <c r="F12" s="103" t="s">
        <v>251</v>
      </c>
      <c r="G12" s="103" t="s">
        <v>252</v>
      </c>
    </row>
    <row r="13">
      <c r="A13" s="103" t="b">
        <v>1</v>
      </c>
      <c r="B13" s="103" t="s">
        <v>253</v>
      </c>
      <c r="C13" s="103" t="s">
        <v>274</v>
      </c>
      <c r="D13" s="105">
        <v>350.0</v>
      </c>
      <c r="E13" s="103" t="s">
        <v>247</v>
      </c>
      <c r="F13" s="103" t="s">
        <v>251</v>
      </c>
      <c r="G13" s="103" t="s">
        <v>254</v>
      </c>
    </row>
    <row r="14">
      <c r="A14" s="103" t="b">
        <v>1</v>
      </c>
      <c r="B14" s="103" t="s">
        <v>255</v>
      </c>
      <c r="C14" s="103" t="s">
        <v>275</v>
      </c>
      <c r="D14" s="105">
        <v>350.0</v>
      </c>
      <c r="E14" s="103" t="s">
        <v>247</v>
      </c>
      <c r="F14" s="103" t="s">
        <v>251</v>
      </c>
      <c r="G14" s="103" t="s">
        <v>256</v>
      </c>
    </row>
    <row r="15">
      <c r="A15" s="103" t="b">
        <v>1</v>
      </c>
      <c r="B15" s="103" t="s">
        <v>257</v>
      </c>
      <c r="C15" s="103" t="s">
        <v>280</v>
      </c>
      <c r="D15" s="105">
        <v>500.0</v>
      </c>
      <c r="E15" s="103" t="s">
        <v>247</v>
      </c>
      <c r="F15" s="103" t="s">
        <v>251</v>
      </c>
      <c r="G15" s="103" t="s">
        <v>256</v>
      </c>
    </row>
    <row r="16">
      <c r="A16" s="103" t="b">
        <v>0</v>
      </c>
      <c r="B16" s="103" t="s">
        <v>259</v>
      </c>
      <c r="C16" s="103" t="s">
        <v>277</v>
      </c>
      <c r="D16" s="105">
        <v>1000.0</v>
      </c>
      <c r="E16" s="103" t="s">
        <v>247</v>
      </c>
      <c r="F16" s="103" t="s">
        <v>251</v>
      </c>
      <c r="G16" s="103" t="s">
        <v>261</v>
      </c>
    </row>
    <row r="17">
      <c r="A17" s="103" t="b">
        <v>0</v>
      </c>
      <c r="B17" s="103" t="s">
        <v>262</v>
      </c>
      <c r="C17" s="103" t="s">
        <v>278</v>
      </c>
      <c r="D17" s="105">
        <v>500.0</v>
      </c>
      <c r="E17" s="103" t="s">
        <v>247</v>
      </c>
      <c r="F17" s="103" t="s">
        <v>264</v>
      </c>
      <c r="G17" s="103" t="s">
        <v>265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2" t="s">
        <v>281</v>
      </c>
    </row>
    <row r="2">
      <c r="A2" s="103" t="s">
        <v>209</v>
      </c>
      <c r="B2" s="104">
        <f>'Savings comparison'!F19</f>
        <v>1600</v>
      </c>
      <c r="C2" s="105" t="s">
        <v>210</v>
      </c>
      <c r="D2" s="104">
        <f>SUMIF(A6:A17,TRUE,D6:D17)</f>
        <v>8531</v>
      </c>
      <c r="E2" s="103" t="s">
        <v>211</v>
      </c>
      <c r="F2" s="106">
        <v>46185.0</v>
      </c>
      <c r="G2" s="107"/>
    </row>
    <row r="3">
      <c r="A3" s="103" t="s">
        <v>212</v>
      </c>
    </row>
    <row r="4">
      <c r="A4" s="107"/>
      <c r="B4" s="107"/>
      <c r="C4" s="107"/>
      <c r="D4" s="107"/>
      <c r="E4" s="107"/>
      <c r="F4" s="107"/>
      <c r="G4" s="107"/>
    </row>
    <row r="5">
      <c r="A5" s="108" t="s">
        <v>213</v>
      </c>
      <c r="B5" s="108" t="s">
        <v>214</v>
      </c>
      <c r="C5" s="108" t="s">
        <v>215</v>
      </c>
      <c r="D5" s="108" t="s">
        <v>216</v>
      </c>
      <c r="E5" s="108" t="s">
        <v>217</v>
      </c>
      <c r="F5" s="108" t="s">
        <v>218</v>
      </c>
      <c r="G5" s="108" t="s">
        <v>219</v>
      </c>
    </row>
    <row r="6">
      <c r="A6" s="103" t="b">
        <v>1</v>
      </c>
      <c r="B6" s="103" t="s">
        <v>220</v>
      </c>
      <c r="C6" s="103" t="s">
        <v>267</v>
      </c>
      <c r="D6" s="105">
        <v>824.0</v>
      </c>
      <c r="E6" s="103" t="s">
        <v>222</v>
      </c>
      <c r="F6" s="103" t="s">
        <v>223</v>
      </c>
      <c r="G6" s="103" t="s">
        <v>224</v>
      </c>
    </row>
    <row r="7">
      <c r="A7" s="103" t="b">
        <v>1</v>
      </c>
      <c r="B7" s="103" t="s">
        <v>225</v>
      </c>
      <c r="C7" s="103" t="s">
        <v>268</v>
      </c>
      <c r="D7" s="105">
        <v>2028.0</v>
      </c>
      <c r="E7" s="103" t="s">
        <v>227</v>
      </c>
      <c r="F7" s="109" t="s">
        <v>228</v>
      </c>
      <c r="G7" s="103" t="s">
        <v>229</v>
      </c>
    </row>
    <row r="8">
      <c r="A8" s="103" t="b">
        <v>1</v>
      </c>
      <c r="B8" s="103" t="s">
        <v>230</v>
      </c>
      <c r="C8" s="103" t="s">
        <v>269</v>
      </c>
      <c r="D8" s="105">
        <v>540.0</v>
      </c>
      <c r="E8" s="103" t="s">
        <v>232</v>
      </c>
      <c r="F8" s="109" t="s">
        <v>233</v>
      </c>
      <c r="G8" s="103" t="s">
        <v>234</v>
      </c>
    </row>
    <row r="9">
      <c r="A9" s="103" t="b">
        <v>1</v>
      </c>
      <c r="B9" s="103" t="s">
        <v>235</v>
      </c>
      <c r="C9" s="103" t="s">
        <v>270</v>
      </c>
      <c r="D9" s="105">
        <v>1949.0</v>
      </c>
      <c r="E9" s="103" t="s">
        <v>237</v>
      </c>
      <c r="F9" s="103" t="s">
        <v>238</v>
      </c>
      <c r="G9" s="103" t="s">
        <v>239</v>
      </c>
    </row>
    <row r="10">
      <c r="A10" s="103" t="b">
        <v>1</v>
      </c>
      <c r="B10" s="103" t="s">
        <v>240</v>
      </c>
      <c r="C10" s="103" t="s">
        <v>271</v>
      </c>
      <c r="D10" s="105">
        <v>240.0</v>
      </c>
      <c r="E10" s="103" t="s">
        <v>242</v>
      </c>
      <c r="F10" s="103" t="s">
        <v>243</v>
      </c>
      <c r="G10" s="103" t="s">
        <v>244</v>
      </c>
    </row>
    <row r="11">
      <c r="A11" s="103" t="b">
        <v>1</v>
      </c>
      <c r="B11" s="103" t="s">
        <v>245</v>
      </c>
      <c r="C11" s="103" t="s">
        <v>272</v>
      </c>
      <c r="D11" s="105">
        <v>400.0</v>
      </c>
      <c r="E11" s="103" t="s">
        <v>247</v>
      </c>
      <c r="F11" s="103" t="s">
        <v>248</v>
      </c>
      <c r="G11" s="103" t="s">
        <v>249</v>
      </c>
    </row>
    <row r="12">
      <c r="A12" s="103" t="b">
        <v>1</v>
      </c>
      <c r="B12" s="103" t="s">
        <v>250</v>
      </c>
      <c r="C12" s="103" t="s">
        <v>273</v>
      </c>
      <c r="D12" s="105">
        <v>350.0</v>
      </c>
      <c r="E12" s="103" t="s">
        <v>247</v>
      </c>
      <c r="F12" s="103" t="s">
        <v>251</v>
      </c>
      <c r="G12" s="103" t="s">
        <v>252</v>
      </c>
    </row>
    <row r="13">
      <c r="A13" s="103" t="b">
        <v>1</v>
      </c>
      <c r="B13" s="103" t="s">
        <v>253</v>
      </c>
      <c r="C13" s="103" t="s">
        <v>274</v>
      </c>
      <c r="D13" s="105">
        <v>350.0</v>
      </c>
      <c r="E13" s="103" t="s">
        <v>247</v>
      </c>
      <c r="F13" s="103" t="s">
        <v>251</v>
      </c>
      <c r="G13" s="103" t="s">
        <v>254</v>
      </c>
    </row>
    <row r="14">
      <c r="A14" s="103" t="b">
        <v>1</v>
      </c>
      <c r="B14" s="103" t="s">
        <v>255</v>
      </c>
      <c r="C14" s="103" t="s">
        <v>275</v>
      </c>
      <c r="D14" s="105">
        <v>350.0</v>
      </c>
      <c r="E14" s="103" t="s">
        <v>247</v>
      </c>
      <c r="F14" s="103" t="s">
        <v>251</v>
      </c>
      <c r="G14" s="103" t="s">
        <v>256</v>
      </c>
    </row>
    <row r="15">
      <c r="A15" s="103" t="b">
        <v>0</v>
      </c>
      <c r="B15" s="103" t="s">
        <v>257</v>
      </c>
      <c r="C15" s="103" t="s">
        <v>282</v>
      </c>
      <c r="D15" s="105">
        <v>500.0</v>
      </c>
      <c r="E15" s="103" t="s">
        <v>247</v>
      </c>
      <c r="F15" s="103" t="s">
        <v>251</v>
      </c>
      <c r="G15" s="103" t="s">
        <v>256</v>
      </c>
    </row>
    <row r="16">
      <c r="A16" s="103" t="b">
        <v>1</v>
      </c>
      <c r="B16" s="103" t="s">
        <v>259</v>
      </c>
      <c r="C16" s="103" t="s">
        <v>283</v>
      </c>
      <c r="D16" s="105">
        <v>1000.0</v>
      </c>
      <c r="E16" s="103" t="s">
        <v>247</v>
      </c>
      <c r="F16" s="103" t="s">
        <v>251</v>
      </c>
      <c r="G16" s="103" t="s">
        <v>261</v>
      </c>
    </row>
    <row r="17">
      <c r="A17" s="103" t="b">
        <v>1</v>
      </c>
      <c r="B17" s="103" t="s">
        <v>262</v>
      </c>
      <c r="C17" s="103" t="s">
        <v>284</v>
      </c>
      <c r="D17" s="105">
        <v>500.0</v>
      </c>
      <c r="E17" s="103" t="s">
        <v>247</v>
      </c>
      <c r="F17" s="103" t="s">
        <v>264</v>
      </c>
      <c r="G17" s="103" t="s">
        <v>265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