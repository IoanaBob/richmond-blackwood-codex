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b1a1dce75349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avings comparison" sheetId="1" r:id="Re748c0c5ba764d4a"/>
    <x:sheet xmlns:r="http://schemas.openxmlformats.org/officeDocument/2006/relationships" name="Assumptions" sheetId="2" r:id="Rab1a3d405e874236"/>
    <x:sheet xmlns:r="http://schemas.openxmlformats.org/officeDocument/2006/relationships" name="P&amp;L - add-on" sheetId="3" r:id="R8c1854d81e4f455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[$€-2]#,##0;[Red]([$€-2]#,##0);-"/>
    <x:numFmt numFmtId="201" formatCode="0.0%;[Red](0.0%);-"/>
    <x:numFmt numFmtId="202" formatCode="0.0x;[Red](0.0x);-"/>
  </x:numFmts>
  <x:fonts count="12">
    <x:font>
      <x:sz val="11"/>
      <x:name val="Carlito"/>
    </x:font>
    <x:font>
      <x:b/>
      <x:sz val="14"/>
      <x:color rgb="FFFFFFFF"/>
      <x:name val="Roboto"/>
    </x:font>
    <x:font>
      <x:i/>
      <x:sz val="9"/>
      <x:color rgb="FF404040"/>
      <x:name val="Roboto"/>
    </x:font>
    <x:font>
      <x:b/>
      <x:sz val="11"/>
      <x:color rgb="FFFFFFFF"/>
      <x:name val="Roboto"/>
    </x:font>
    <x:font>
      <x:b/>
      <x:sz val="11"/>
      <x:name val="Roboto"/>
    </x:font>
    <x:font>
      <x:sz val="11"/>
      <x:name val="Roboto"/>
    </x:font>
    <x:font>
      <x:sz val="11"/>
      <x:color rgb="FF000000"/>
      <x:name val="Roboto"/>
    </x:font>
    <x:font>
      <x:b/>
      <x:sz val="11"/>
      <x:color rgb="FF000000"/>
      <x:name val="Roboto"/>
    </x:font>
    <x:font>
      <x:b/>
      <x:i/>
      <x:sz val="9"/>
      <x:name val="Roboto"/>
    </x:font>
    <x:font>
      <x:i/>
      <x:sz val="9"/>
      <x:name val="Roboto"/>
    </x:font>
    <x:font>
      <x:sz val="11"/>
      <x:color rgb="FF0000FF"/>
      <x:name val="Roboto"/>
    </x:font>
    <x:font>
      <x:b/>
      <x:sz val="11"/>
      <x:color rgb="FF0000FF"/>
      <x:name val="Roboto"/>
    </x:font>
  </x:fonts>
  <x:fills count="8">
    <x:fill>
      <x:patternFill patternType="none"/>
    </x:fill>
    <x:fill>
      <x:patternFill patternType="gray125"/>
    </x:fill>
    <x:fill>
      <x:patternFill patternType="solid">
        <x:fgColor rgb="FF21352E"/>
      </x:patternFill>
    </x:fill>
    <x:fill>
      <x:patternFill patternType="solid">
        <x:fgColor rgb="FFF3F5F2"/>
      </x:patternFill>
    </x:fill>
    <x:fill>
      <x:patternFill patternType="solid">
        <x:fgColor rgb="FF3B6557"/>
      </x:patternFill>
    </x:fill>
    <x:fill>
      <x:patternFill patternType="solid">
        <x:fgColor rgb="FFE2F0D9"/>
      </x:patternFill>
    </x:fill>
    <x:fill>
      <x:patternFill patternType="solid">
        <x:fgColor rgb="FFB6D7A8"/>
      </x:patternFill>
    </x:fill>
    <x:fill>
      <x:patternFill patternType="solid">
        <x:fgColor rgb="FFFFF2CC"/>
      </x:patternFill>
    </x:fill>
  </x:fills>
  <x:borders count="13">
    <x:border/>
    <x:border>
      <x:left style="medium">
        <x:color rgb="FF21352E"/>
      </x:left>
      <x:top style="medium">
        <x:color rgb="FF21352E"/>
      </x:top>
      <x:bottom style="medium">
        <x:color rgb="FF21352E"/>
      </x:bottom>
    </x:border>
    <x:border>
      <x:top style="medium">
        <x:color rgb="FF21352E"/>
      </x:top>
      <x:bottom style="medium">
        <x:color rgb="FF21352E"/>
      </x:bottom>
    </x:border>
    <x:border>
      <x:right style="medium">
        <x:color rgb="FF21352E"/>
      </x:right>
      <x:top style="medium">
        <x:color rgb="FF21352E"/>
      </x:top>
      <x:bottom style="medium">
        <x:color rgb="FF21352E"/>
      </x:bottom>
    </x:border>
    <x:border>
      <x:left style="thin">
        <x:color rgb="FFD9E2D8"/>
      </x:left>
      <x:right style="thin">
        <x:color rgb="FFD9E2D8"/>
      </x:right>
      <x:top style="thin">
        <x:color rgb="FFD9E2D8"/>
      </x:top>
      <x:bottom style="thin">
        <x:color rgb="FFD9E2D8"/>
      </x:bottom>
    </x:border>
    <x:border>
      <x:left style="medium">
        <x:color rgb="FF21352E"/>
      </x:left>
      <x:right style="thin">
        <x:color rgb="FFD9E2D8"/>
      </x:right>
      <x:top style="medium">
        <x:color rgb="FF21352E"/>
      </x:top>
      <x:bottom style="thin">
        <x:color rgb="FFD9E2D8"/>
      </x:bottom>
    </x:border>
    <x:border>
      <x:left style="thin">
        <x:color rgb="FFD9E2D8"/>
      </x:left>
      <x:right style="thin">
        <x:color rgb="FFD9E2D8"/>
      </x:right>
      <x:top style="medium">
        <x:color rgb="FF21352E"/>
      </x:top>
      <x:bottom style="thin">
        <x:color rgb="FFD9E2D8"/>
      </x:bottom>
    </x:border>
    <x:border>
      <x:left style="thin">
        <x:color rgb="FFD9E2D8"/>
      </x:left>
      <x:right style="medium">
        <x:color rgb="FF21352E"/>
      </x:right>
      <x:top style="medium">
        <x:color rgb="FF21352E"/>
      </x:top>
      <x:bottom style="thin">
        <x:color rgb="FFD9E2D8"/>
      </x:bottom>
    </x:border>
    <x:border>
      <x:left style="medium">
        <x:color rgb="FF21352E"/>
      </x:left>
      <x:right style="thin">
        <x:color rgb="FFD9E2D8"/>
      </x:right>
      <x:top style="thin">
        <x:color rgb="FFD9E2D8"/>
      </x:top>
      <x:bottom style="thin">
        <x:color rgb="FFD9E2D8"/>
      </x:bottom>
    </x:border>
    <x:border>
      <x:left style="thin">
        <x:color rgb="FFD9E2D8"/>
      </x:left>
      <x:right style="medium">
        <x:color rgb="FF21352E"/>
      </x:right>
      <x:top style="thin">
        <x:color rgb="FFD9E2D8"/>
      </x:top>
      <x:bottom style="thin">
        <x:color rgb="FFD9E2D8"/>
      </x:bottom>
    </x:border>
    <x:border>
      <x:left style="medium">
        <x:color rgb="FF21352E"/>
      </x:left>
      <x:right style="thin">
        <x:color rgb="FFD9E2D8"/>
      </x:right>
      <x:top style="thin">
        <x:color rgb="FFD9E2D8"/>
      </x:top>
      <x:bottom style="medium">
        <x:color rgb="FF21352E"/>
      </x:bottom>
    </x:border>
    <x:border>
      <x:left style="thin">
        <x:color rgb="FFD9E2D8"/>
      </x:left>
      <x:right style="thin">
        <x:color rgb="FFD9E2D8"/>
      </x:right>
      <x:top style="thin">
        <x:color rgb="FFD9E2D8"/>
      </x:top>
      <x:bottom style="medium">
        <x:color rgb="FF21352E"/>
      </x:bottom>
    </x:border>
    <x:border>
      <x:left style="thin">
        <x:color rgb="FFD9E2D8"/>
      </x:left>
      <x:right style="medium">
        <x:color rgb="FF21352E"/>
      </x:right>
      <x:top style="thin">
        <x:color rgb="FFD9E2D8"/>
      </x:top>
      <x:bottom style="medium">
        <x:color rgb="FF21352E"/>
      </x:bottom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/>
    </x:xf>
    <x:xf numFmtId="0" fontId="3" fillId="4" borderId="2" xfId="0" applyNumberFormat="1" applyFont="1" applyFill="1" applyBorder="1" applyAlignment="1">
      <x:alignment vertical="center"/>
    </x:xf>
    <x:xf numFmtId="0" fontId="3" fillId="4" borderId="3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5" borderId="0" xfId="0" applyNumberFormat="1" applyFont="1" applyFill="1" applyBorder="1"/>
    <x:xf numFmtId="0" fontId="7" fillId="5" borderId="0" xfId="0" applyNumberFormat="1" applyFont="1" applyFill="1" applyBorder="1"/>
    <x:xf numFmtId="0" fontId="4" fillId="3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 applyAlignment="1">
      <x:alignment wrapText="1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0" fontId="3" fillId="2" borderId="4" xfId="0" applyNumberFormat="1" applyFont="1" applyFill="1" applyBorder="1" applyAlignment="1">
      <x:alignment horizontal="center" wrapText="1"/>
    </x:xf>
    <x:xf numFmtId="0" fontId="4" fillId="0" borderId="4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wrapText="1"/>
    </x:xf>
    <x:xf numFmtId="0" fontId="6" fillId="0" borderId="4" xfId="0" applyNumberFormat="1" applyFont="1" applyFill="1" applyBorder="1"/>
    <x:xf numFmtId="0" fontId="7" fillId="5" borderId="4" xfId="0" applyNumberFormat="1" applyFont="1" applyFill="1" applyBorder="1"/>
    <x:xf numFmtId="0" fontId="0" fillId="0" borderId="4" xfId="0" applyNumberFormat="1" applyFont="1" applyFill="1" applyBorder="1"/>
    <x:xf numFmtId="0" fontId="3" fillId="4" borderId="4" xfId="0" applyNumberFormat="1" applyFont="1" applyFill="1" applyBorder="1" applyAlignment="1">
      <x:alignment vertical="center"/>
    </x:xf>
    <x:xf numFmtId="0" fontId="4" fillId="3" borderId="4" xfId="0" applyNumberFormat="1" applyFont="1" applyFill="1" applyBorder="1"/>
    <x:xf numFmtId="0" fontId="4" fillId="6" borderId="4" xfId="0" applyNumberFormat="1" applyFont="1" applyFill="1" applyBorder="1" applyAlignment="1">
      <x:alignment wrapText="1"/>
    </x:xf>
    <x:xf numFmtId="0" fontId="4" fillId="6" borderId="4" xfId="0" applyNumberFormat="1" applyFont="1" applyFill="1" applyBorder="1"/>
    <x:xf numFmtId="0" fontId="8" fillId="3" borderId="4" xfId="0" applyNumberFormat="1" applyFont="1" applyFill="1" applyBorder="1" applyAlignment="1">
      <x:alignment wrapText="1"/>
    </x:xf>
    <x:xf numFmtId="0" fontId="9" fillId="3" borderId="4" xfId="0" applyNumberFormat="1" applyFont="1" applyFill="1" applyBorder="1" applyAlignment="1">
      <x:alignment wrapText="1"/>
    </x:xf>
    <x:xf numFmtId="0" fontId="4" fillId="3" borderId="4" xfId="0" applyNumberFormat="1" applyFont="1" applyFill="1" applyBorder="1" applyAlignment="1">
      <x:alignment wrapText="1"/>
    </x:xf>
    <x:xf numFmtId="0" fontId="5" fillId="3" borderId="4" xfId="0" applyNumberFormat="1" applyFont="1" applyFill="1" applyBorder="1"/>
    <x:xf numFmtId="0" fontId="3" fillId="4" borderId="5" xfId="0" applyNumberFormat="1" applyFont="1" applyFill="1" applyBorder="1" applyAlignment="1">
      <x:alignment vertical="center"/>
    </x:xf>
    <x:xf numFmtId="0" fontId="3" fillId="4" borderId="6" xfId="0" applyNumberFormat="1" applyFont="1" applyFill="1" applyBorder="1" applyAlignment="1">
      <x:alignment vertical="center"/>
    </x:xf>
    <x:xf numFmtId="0" fontId="3" fillId="4" borderId="7" xfId="0" applyNumberFormat="1" applyFont="1" applyFill="1" applyBorder="1" applyAlignment="1">
      <x:alignment vertical="center"/>
    </x:xf>
    <x:xf numFmtId="0" fontId="4" fillId="6" borderId="8" xfId="0" applyNumberFormat="1" applyFont="1" applyFill="1" applyBorder="1" applyAlignment="1">
      <x:alignment wrapText="1"/>
    </x:xf>
    <x:xf numFmtId="0" fontId="4" fillId="6" borderId="9" xfId="0" applyNumberFormat="1" applyFont="1" applyFill="1" applyBorder="1"/>
    <x:xf numFmtId="0" fontId="8" fillId="3" borderId="10" xfId="0" applyNumberFormat="1" applyFont="1" applyFill="1" applyBorder="1" applyAlignment="1">
      <x:alignment wrapText="1"/>
    </x:xf>
    <x:xf numFmtId="0" fontId="9" fillId="3" borderId="11" xfId="0" applyNumberFormat="1" applyFont="1" applyFill="1" applyBorder="1" applyAlignment="1">
      <x:alignment wrapText="1"/>
    </x:xf>
    <x:xf numFmtId="0" fontId="9" fillId="3" borderId="12" xfId="0" applyNumberFormat="1" applyFont="1" applyFill="1" applyBorder="1" applyAlignment="1">
      <x:alignment wrapText="1"/>
    </x:xf>
    <x:xf numFmtId="200" fontId="6" fillId="0" borderId="4" xfId="0" applyNumberFormat="1" applyFont="1" applyFill="1" applyBorder="1"/>
    <x:xf numFmtId="200" fontId="7" fillId="5" borderId="4" xfId="0" applyNumberFormat="1" applyFont="1" applyFill="1" applyBorder="1"/>
    <x:xf numFmtId="200" fontId="0" fillId="0" borderId="4" xfId="0" applyNumberFormat="1" applyFont="1" applyFill="1" applyBorder="1"/>
    <x:xf numFmtId="201" fontId="0" fillId="0" borderId="4" xfId="0" applyNumberFormat="1" applyFont="1" applyFill="1" applyBorder="1"/>
    <x:xf numFmtId="200" fontId="4" fillId="3" borderId="4" xfId="0" applyNumberFormat="1" applyFont="1" applyFill="1" applyBorder="1"/>
    <x:xf numFmtId="200" fontId="4" fillId="6" borderId="4" xfId="0" applyNumberFormat="1" applyFont="1" applyFill="1" applyBorder="1"/>
    <x:xf numFmtId="200" fontId="4" fillId="6" borderId="9" xfId="0" applyNumberFormat="1" applyFont="1" applyFill="1" applyBorder="1"/>
    <x:xf numFmtId="202" fontId="4" fillId="6" borderId="4" xfId="0" applyNumberFormat="1" applyFont="1" applyFill="1" applyBorder="1"/>
    <x:xf numFmtId="202" fontId="4" fillId="6" borderId="9" xfId="0" applyNumberFormat="1" applyFont="1" applyFill="1" applyBorder="1"/>
    <x:xf numFmtId="0" fontId="3" fillId="4" borderId="1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/>
    <x:xf numFmtId="0" fontId="11" fillId="4" borderId="2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wrapText="1"/>
    </x:xf>
    <x:xf numFmtId="0" fontId="10" fillId="2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wrapText="1"/>
    </x:xf>
    <x:xf numFmtId="0" fontId="10" fillId="7" borderId="0" xfId="0" applyNumberFormat="1" applyFont="1" applyFill="1" applyBorder="1"/>
    <x:xf numFmtId="0" fontId="11" fillId="7" borderId="2" xfId="0" applyNumberFormat="1" applyFont="1" applyFill="1" applyBorder="1" applyAlignment="1">
      <x:alignment vertical="center"/>
    </x:xf>
    <x:xf numFmtId="0" fontId="10" fillId="7" borderId="4" xfId="0" applyNumberFormat="1" applyFont="1" applyFill="1" applyBorder="1"/>
    <x:xf numFmtId="0" fontId="3" fillId="4" borderId="4" xfId="0" applyNumberFormat="1" applyFont="1" applyFill="1" applyBorder="1" applyAlignment="1">
      <x:alignment vertical="center" wrapText="1"/>
    </x:xf>
    <x:xf numFmtId="0" fontId="11" fillId="7" borderId="4" xfId="0" applyNumberFormat="1" applyFont="1" applyFill="1" applyBorder="1" applyAlignment="1">
      <x:alignment vertical="center"/>
    </x:xf>
    <x:xf numFmtId="0" fontId="10" fillId="0" borderId="4" xfId="0" applyNumberFormat="1" applyFont="1" applyFill="1" applyBorder="1"/>
    <x:xf numFmtId="0" fontId="11" fillId="4" borderId="4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wrapText="1"/>
    </x:xf>
    <x:xf numFmtId="0" fontId="10" fillId="0" borderId="4" xfId="0" applyNumberFormat="1" applyFont="1" applyFill="1" applyBorder="1" applyAlignment="1">
      <x:alignment wrapText="1"/>
    </x:xf>
    <x:xf numFmtId="0" fontId="6" fillId="3" borderId="4" xfId="0" applyNumberFormat="1" applyFont="1" applyFill="1" applyBorder="1" applyAlignment="1">
      <x:alignment wrapText="1"/>
    </x:xf>
    <x:xf numFmtId="0" fontId="5" fillId="3" borderId="4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/>
    </x:xf>
    <x:xf numFmtId="0" fontId="4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/>
    <x:xf numFmtId="0" fontId="4" fillId="0" borderId="10" xfId="0" applyNumberFormat="1" applyFont="1" applyFill="1" applyBorder="1" applyAlignment="1">
      <x:alignment wrapText="1"/>
    </x:xf>
    <x:xf numFmtId="0" fontId="10" fillId="7" borderId="11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201" fontId="10" fillId="7" borderId="4" xfId="0" applyNumberFormat="1" applyFont="1" applyFill="1" applyBorder="1"/>
    <x:xf numFmtId="200" fontId="10" fillId="7" borderId="4" xfId="0" applyNumberFormat="1" applyFont="1" applyFill="1" applyBorder="1"/>
    <x:xf numFmtId="201" fontId="6" fillId="0" borderId="4" xfId="0" applyNumberFormat="1" applyFont="1" applyFill="1" applyBorder="1"/>
    <x:xf numFmtId="200" fontId="10" fillId="7" borderId="11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4" xfId="0" applyNumberFormat="1" applyFont="1" applyFill="1" applyBorder="1" applyAlignment="1">
      <x:alignment horizontal="center"/>
    </x:xf>
    <x:xf numFmtId="0" fontId="3" fillId="4" borderId="4" xfId="0" applyNumberFormat="1" applyFont="1" applyFill="1" applyBorder="1"/>
    <x:xf numFmtId="200" fontId="3" fillId="4" borderId="4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ce8a1bc55d42f7" /><Relationship Type="http://schemas.openxmlformats.org/officeDocument/2006/relationships/theme" Target="/xl/theme/theme1.xml" Id="R09d5705a948c4a3d" /><Relationship Type="http://schemas.openxmlformats.org/officeDocument/2006/relationships/sharedStrings" Target="/xl/sharedStrings.xml" Id="Ra91d50e43ab64163" /><Relationship Type="http://schemas.openxmlformats.org/officeDocument/2006/relationships/worksheet" Target="/xl/worksheets/sheet1.xml" Id="Re748c0c5ba764d4a" /><Relationship Type="http://schemas.openxmlformats.org/officeDocument/2006/relationships/worksheet" Target="/xl/worksheets/sheet2.xml" Id="Rab1a3d405e874236" /><Relationship Type="http://schemas.openxmlformats.org/officeDocument/2006/relationships/worksheet" Target="/xl/worksheets/sheet3.xml" Id="R8c1854d81e4f455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.560001373291016" hidden="0" customWidth="1"/>
    <x:col min="2" max="2" width="18.889999389648438" hidden="0" customWidth="1"/>
    <x:col min="3" max="3" width="18.889999389648438" hidden="0" customWidth="1"/>
    <x:col min="4" max="4" width="18.889999389648438" hidden="0" customWidth="1"/>
    <x:col min="5" max="5" width="18.889999389648438" hidden="0" customWidth="1"/>
    <x:col min="6" max="6" width="18.889999389648438" hidden="0" customWidth="1"/>
  </x:cols>
  <x:sheetData>
    <x:row r="1" ht="16.5" customHeight="1">
      <x:c r="A1" s="4" t="str">
        <x:v>Richmond Blackwood savings calculation template</x:v>
      </x:c>
      <x:c r="B1" s="4"/>
      <x:c r="C1" s="4"/>
      <x:c r="D1" s="4"/>
      <x:c r="E1" s="4"/>
      <x:c r="F1" s="4"/>
    </x:row>
    <x:row r="2" ht="31.5" customHeight="1">
      <x:c r="A2" s="8" t="str">
        <x:v>Status: provisional. Source: user instruction in Codex chat, imported 2026-06-12. Review: confirm tax treatment, client facts, and final fee rule before client use.</x:v>
      </x:c>
      <x:c r="B2" s="8"/>
      <x:c r="C2" s="8"/>
      <x:c r="D2" s="8"/>
      <x:c r="E2" s="8"/>
      <x:c r="F2" s="8"/>
    </x:row>
    <x:row r="3" ht="16.5" customHeight="1"/>
    <x:row r="4" ht="28.5" customHeight="1">
      <x:c r="A4" s="37" t="str">
        <x:v>Metric</x:v>
      </x:c>
      <x:c r="B4" s="37" t="str">
        <x:v>Before analysis</x:v>
      </x:c>
      <x:c r="C4" s="37" t="str">
        <x:v>Option 1 - Basic analysis</x:v>
      </x:c>
      <x:c r="D4" s="37" t="str">
        <x:v>Option 2 - Full optimisation</x:v>
      </x:c>
      <x:c r="E4" s="37" t="str">
        <x:v>Option 3 - Pension reserve</x:v>
      </x:c>
      <x:c r="F4" s="37" t="str">
        <x:v>Option 4 - IE resident</x:v>
      </x:c>
    </x:row>
    <x:row r="5" ht="37.5" customHeight="1">
      <x:c r="A5" s="38" t="str">
        <x:v>Service scope</x:v>
      </x:c>
      <x:c r="B5" s="39" t="str">
        <x:v>Current position</x:v>
      </x:c>
      <x:c r="C5" s="39" t="str">
        <x:v>Basic analysis; no optimisation</x:v>
      </x:c>
      <x:c r="D5" s="39" t="str">
        <x:v>Full opt. excl. pension reserve</x:v>
      </x:c>
      <x:c r="E5" s="39" t="str">
        <x:v>Full opt. incl. pension reserve</x:v>
      </x:c>
      <x:c r="F5" s="39" t="str">
        <x:v>IE resident + director fee</x:v>
      </x:c>
    </x:row>
    <x:row r="6" ht="16.5" customHeight="1">
      <x:c r="A6" s="38" t="str">
        <x:v>Tax residence</x:v>
      </x:c>
      <x:c r="B6" s="39" t="str">
        <x:f>IF(Assumptions!$B$11="IE","IE","DE")</x:f>
        <x:v>DE</x:v>
      </x:c>
      <x:c r="C6" s="39" t="str">
        <x:v>DE</x:v>
      </x:c>
      <x:c r="D6" s="39" t="str">
        <x:v>DE</x:v>
      </x:c>
      <x:c r="E6" s="39" t="str">
        <x:v>DE</x:v>
      </x:c>
      <x:c r="F6" s="39" t="str">
        <x:v>IE</x:v>
      </x:c>
    </x:row>
    <x:row r="7" ht="16.5" customHeight="1">
      <x:c r="A7" s="38" t="str">
        <x:v>Optimises office rent</x:v>
      </x:c>
      <x:c r="B7" s="39" t="str">
        <x:v>No</x:v>
      </x:c>
      <x:c r="C7" s="39" t="str">
        <x:v>No</x:v>
      </x:c>
      <x:c r="D7" s="39" t="str">
        <x:v>Yes</x:v>
      </x:c>
      <x:c r="E7" s="39" t="str">
        <x:v>Yes</x:v>
      </x:c>
      <x:c r="F7" s="39" t="str">
        <x:v>Yes</x:v>
      </x:c>
    </x:row>
    <x:row r="8" ht="30" customHeight="1">
      <x:c r="A8" s="38" t="str">
        <x:v>Optimises business travel / other expenses</x:v>
      </x:c>
      <x:c r="B8" s="39" t="str">
        <x:v>No</x:v>
      </x:c>
      <x:c r="C8" s="39" t="str">
        <x:v>No</x:v>
      </x:c>
      <x:c r="D8" s="39" t="str">
        <x:v>Yes</x:v>
      </x:c>
      <x:c r="E8" s="39" t="str">
        <x:v>Yes</x:v>
      </x:c>
      <x:c r="F8" s="39" t="str">
        <x:v>Yes</x:v>
      </x:c>
    </x:row>
    <x:row r="9" ht="16.5" customHeight="1">
      <x:c r="A9" s="38" t="str">
        <x:v>Car depreciation support</x:v>
      </x:c>
      <x:c r="B9" s="39" t="str">
        <x:v>No</x:v>
      </x:c>
      <x:c r="C9" s="39" t="str">
        <x:v>No</x:v>
      </x:c>
      <x:c r="D9" s="39" t="str">
        <x:v>Yes</x:v>
      </x:c>
      <x:c r="E9" s="39" t="str">
        <x:v>Yes</x:v>
      </x:c>
      <x:c r="F9" s="39" t="str">
        <x:v>Yes</x:v>
      </x:c>
    </x:row>
    <x:row r="10" ht="16.5" customHeight="1">
      <x:c r="A10" s="38" t="str">
        <x:v>Investment planning support</x:v>
      </x:c>
      <x:c r="B10" s="39" t="str">
        <x:v>No</x:v>
      </x:c>
      <x:c r="C10" s="39" t="str">
        <x:v>No</x:v>
      </x:c>
      <x:c r="D10" s="39" t="str">
        <x:v>Yes</x:v>
      </x:c>
      <x:c r="E10" s="39" t="str">
        <x:v>Yes</x:v>
      </x:c>
      <x:c r="F10" s="39" t="str">
        <x:v>Yes</x:v>
      </x:c>
    </x:row>
    <x:row r="11" ht="16.5" customHeight="1">
      <x:c r="A11" s="38" t="str">
        <x:v>Pension reserve included</x:v>
      </x:c>
      <x:c r="B11" s="39" t="str">
        <x:v>No</x:v>
      </x:c>
      <x:c r="C11" s="39" t="str">
        <x:v>No</x:v>
      </x:c>
      <x:c r="D11" s="39" t="str">
        <x:v>No</x:v>
      </x:c>
      <x:c r="E11" s="39" t="str">
        <x:v>Yes</x:v>
      </x:c>
      <x:c r="F11" s="39" t="str">
        <x:v>No</x:v>
      </x:c>
    </x:row>
    <x:row r="12" ht="16.5" customHeight="1">
      <x:c r="A12" s="38" t="str">
        <x:v>Director fee required</x:v>
      </x:c>
      <x:c r="B12" s="39" t="str">
        <x:v>No</x:v>
      </x:c>
      <x:c r="C12" s="39" t="str">
        <x:v>No</x:v>
      </x:c>
      <x:c r="D12" s="39" t="str">
        <x:v>No</x:v>
      </x:c>
      <x:c r="E12" s="39" t="str">
        <x:v>No</x:v>
      </x:c>
      <x:c r="F12" s="39" t="str">
        <x:v>Yes</x:v>
      </x:c>
    </x:row>
    <x:row r="13" ht="16.5" customHeight="1">
      <x:c r="A13" s="38" t="str">
        <x:v>RB base fee</x:v>
      </x:c>
      <x:c r="B13" s="59" t="n">
        <x:v>0</x:v>
      </x:c>
      <x:c r="C13" s="59" t="n">
        <x:f>Assumptions!$B$50</x:f>
        <x:v>500</x:v>
      </x:c>
      <x:c r="D13" s="59" t="n">
        <x:f>Assumptions!$B$51</x:f>
        <x:v>1000</x:v>
      </x:c>
      <x:c r="E13" s="59" t="n">
        <x:f>Assumptions!$B$54</x:f>
        <x:v>1200</x:v>
      </x:c>
      <x:c r="F13" s="59" t="n">
        <x:f>Assumptions!$B$55</x:f>
        <x:v>1500</x:v>
      </x:c>
    </x:row>
    <x:row r="14" ht="16.5" customHeight="1">
      <x:c r="A14" s="38" t="str">
        <x:v>Employee surcharge</x:v>
      </x:c>
      <x:c r="B14" s="59" t="n">
        <x:v>0</x:v>
      </x:c>
      <x:c r="C14" s="59" t="n">
        <x:v>0</x:v>
      </x:c>
      <x:c r="D14" s="59" t="n">
        <x:f>IF(Assumptions!$B$9&gt;Assumptions!$B$52,Assumptions!$B$53,0)</x:f>
        <x:v>0</x:v>
      </x:c>
      <x:c r="E14" s="59" t="n">
        <x:v>0</x:v>
      </x:c>
      <x:c r="F14" s="59" t="n">
        <x:v>0</x:v>
      </x:c>
    </x:row>
    <x:row r="15" ht="16.5" customHeight="1">
      <x:c r="A15" s="38" t="str">
        <x:v>Total RB fee</x:v>
      </x:c>
      <x:c r="B15" s="60" t="n">
        <x:v>0</x:v>
      </x:c>
      <x:c r="C15" s="60" t="n">
        <x:f>C13+C14</x:f>
        <x:v>500</x:v>
      </x:c>
      <x:c r="D15" s="60" t="n">
        <x:f>D13+D14</x:f>
        <x:v>1000</x:v>
      </x:c>
      <x:c r="E15" s="60" t="n">
        <x:f>E13+E14</x:f>
        <x:v>1200</x:v>
      </x:c>
      <x:c r="F15" s="60" t="n">
        <x:f>F13+F14</x:f>
        <x:v>1500</x:v>
      </x:c>
    </x:row>
    <x:row r="16" ht="16.5" customHeight="1">
      <x:c r="A16" s="42"/>
      <x:c r="B16" s="42"/>
      <x:c r="C16" s="42"/>
      <x:c r="D16" s="42"/>
      <x:c r="E16" s="42"/>
      <x:c r="F16" s="42"/>
    </x:row>
    <x:row r="17" ht="16.5" customHeight="1">
      <x:c r="A17" s="43" t="str">
        <x:v>Company model</x:v>
      </x:c>
      <x:c r="B17" s="43"/>
      <x:c r="C17" s="43"/>
      <x:c r="D17" s="43"/>
      <x:c r="E17" s="43"/>
      <x:c r="F17" s="43"/>
    </x:row>
    <x:row r="18" ht="16.5" customHeight="1">
      <x:c r="A18" s="39" t="str">
        <x:v>Taxable profit before optimisation</x:v>
      </x:c>
      <x:c r="B18" s="61" t="n">
        <x:f>Assumptions!$B$24</x:f>
        <x:v>0</x:v>
      </x:c>
      <x:c r="C18" s="61" t="n">
        <x:f>Assumptions!$B$24</x:f>
        <x:v>0</x:v>
      </x:c>
      <x:c r="D18" s="61" t="n">
        <x:f>Assumptions!$B$24</x:f>
        <x:v>0</x:v>
      </x:c>
      <x:c r="E18" s="61" t="n">
        <x:f>Assumptions!$B$24</x:f>
        <x:v>0</x:v>
      </x:c>
      <x:c r="F18" s="61" t="n">
        <x:f>Assumptions!$B$24</x:f>
        <x:v>0</x:v>
      </x:c>
    </x:row>
    <x:row r="19" ht="16.5" customHeight="1">
      <x:c r="A19" s="39" t="str">
        <x:v>Office rent deductible</x:v>
      </x:c>
      <x:c r="B19" s="61" t="n">
        <x:v>0</x:v>
      </x:c>
      <x:c r="C19" s="61" t="n">
        <x:v>0</x:v>
      </x:c>
      <x:c r="D19" s="61" t="n">
        <x:f>Assumptions!$B$29</x:f>
        <x:v>0</x:v>
      </x:c>
      <x:c r="E19" s="61" t="n">
        <x:f>Assumptions!$B$29</x:f>
        <x:v>0</x:v>
      </x:c>
      <x:c r="F19" s="61" t="n">
        <x:f>Assumptions!$B$29</x:f>
        <x:v>0</x:v>
      </x:c>
    </x:row>
    <x:row r="20" ht="16.5" customHeight="1">
      <x:c r="A20" s="39" t="str">
        <x:v>Business travel / other deductible</x:v>
      </x:c>
      <x:c r="B20" s="61" t="n">
        <x:v>0</x:v>
      </x:c>
      <x:c r="C20" s="61" t="n">
        <x:v>0</x:v>
      </x:c>
      <x:c r="D20" s="61" t="n">
        <x:f>Assumptions!$B$31+Assumptions!$B$32</x:f>
        <x:v>0</x:v>
      </x:c>
      <x:c r="E20" s="61" t="n">
        <x:f>Assumptions!$B$31+Assumptions!$B$32</x:f>
        <x:v>0</x:v>
      </x:c>
      <x:c r="F20" s="61" t="n">
        <x:f>Assumptions!$B$31+Assumptions!$B$32</x:f>
        <x:v>0</x:v>
      </x:c>
    </x:row>
    <x:row r="21" ht="16.5" customHeight="1">
      <x:c r="A21" s="39" t="str">
        <x:v>Other investment planning benefit</x:v>
      </x:c>
      <x:c r="B21" s="61" t="n">
        <x:v>0</x:v>
      </x:c>
      <x:c r="C21" s="61" t="n">
        <x:v>0</x:v>
      </x:c>
      <x:c r="D21" s="61" t="n">
        <x:f>Assumptions!$B$42</x:f>
        <x:v>0</x:v>
      </x:c>
      <x:c r="E21" s="61" t="n">
        <x:f>Assumptions!$B$42</x:f>
        <x:v>0</x:v>
      </x:c>
      <x:c r="F21" s="61" t="n">
        <x:f>Assumptions!$B$42</x:f>
        <x:v>0</x:v>
      </x:c>
    </x:row>
    <x:row r="22" ht="16.5" customHeight="1">
      <x:c r="A22" s="39" t="str">
        <x:v>Annual car depreciation deductible</x:v>
      </x:c>
      <x:c r="B22" s="61" t="n">
        <x:v>0</x:v>
      </x:c>
      <x:c r="C22" s="61" t="n">
        <x:v>0</x:v>
      </x:c>
      <x:c r="D22" s="61" t="n">
        <x:f>Assumptions!$B$39</x:f>
        <x:v>0</x:v>
      </x:c>
      <x:c r="E22" s="61" t="n">
        <x:f>Assumptions!$B$39</x:f>
        <x:v>0</x:v>
      </x:c>
      <x:c r="F22" s="61" t="n">
        <x:f>Assumptions!$B$39</x:f>
        <x:v>0</x:v>
      </x:c>
    </x:row>
    <x:row r="23" ht="16.5" customHeight="1">
      <x:c r="A23" s="39" t="str">
        <x:v>Pension reserve contribution</x:v>
      </x:c>
      <x:c r="B23" s="61" t="n">
        <x:v>0</x:v>
      </x:c>
      <x:c r="C23" s="61" t="n">
        <x:v>0</x:v>
      </x:c>
      <x:c r="D23" s="61" t="n">
        <x:v>0</x:v>
      </x:c>
      <x:c r="E23" s="61" t="n">
        <x:f>Assumptions!$B$43</x:f>
        <x:v>0</x:v>
      </x:c>
      <x:c r="F23" s="61" t="n">
        <x:v>0</x:v>
      </x:c>
    </x:row>
    <x:row r="24" ht="16.5" customHeight="1">
      <x:c r="A24" s="39" t="str">
        <x:v>IE director fee deductible</x:v>
      </x:c>
      <x:c r="B24" s="61" t="n">
        <x:v>0</x:v>
      </x:c>
      <x:c r="C24" s="61" t="n">
        <x:v>0</x:v>
      </x:c>
      <x:c r="D24" s="61" t="n">
        <x:v>0</x:v>
      </x:c>
      <x:c r="E24" s="61" t="n">
        <x:v>0</x:v>
      </x:c>
      <x:c r="F24" s="61" t="n">
        <x:f>Assumptions!$B$46</x:f>
        <x:v>0</x:v>
      </x:c>
    </x:row>
    <x:row r="25" ht="16.5" customHeight="1">
      <x:c r="A25" s="39" t="str">
        <x:v>RB fee deductible</x:v>
      </x:c>
      <x:c r="B25" s="61" t="n">
        <x:v>0</x:v>
      </x:c>
      <x:c r="C25" s="61" t="n">
        <x:f>C15</x:f>
        <x:v>500</x:v>
      </x:c>
      <x:c r="D25" s="61" t="n">
        <x:f>D15</x:f>
        <x:v>1000</x:v>
      </x:c>
      <x:c r="E25" s="61" t="n">
        <x:f>E15</x:f>
        <x:v>1200</x:v>
      </x:c>
      <x:c r="F25" s="61" t="n">
        <x:f>F15</x:f>
        <x:v>1500</x:v>
      </x:c>
    </x:row>
    <x:row r="26" ht="16.5" customHeight="1">
      <x:c r="A26" s="39" t="str">
        <x:v>Total additional deductions</x:v>
      </x:c>
      <x:c r="B26" s="61" t="n">
        <x:f>B19+B20+B22+B23+B24+B25</x:f>
        <x:v>0</x:v>
      </x:c>
      <x:c r="C26" s="61" t="n">
        <x:f>C19+C20+C22+C23+C24+C25</x:f>
        <x:v>500</x:v>
      </x:c>
      <x:c r="D26" s="61" t="n">
        <x:f>D19+D20+D22+D23+D24+D25</x:f>
        <x:v>1000</x:v>
      </x:c>
      <x:c r="E26" s="61" t="n">
        <x:f>E19+E20+E22+E23+E24+E25</x:f>
        <x:v>1200</x:v>
      </x:c>
      <x:c r="F26" s="61" t="n">
        <x:f>F19+F20+F22+F23+F24+F25</x:f>
        <x:v>1500</x:v>
      </x:c>
    </x:row>
    <x:row r="27" ht="16.5" customHeight="1">
      <x:c r="A27" s="39" t="str">
        <x:v>Taxable profit after scenario</x:v>
      </x:c>
      <x:c r="B27" s="61" t="n">
        <x:f>MAX(0,B18-B26)</x:f>
        <x:v>0</x:v>
      </x:c>
      <x:c r="C27" s="61" t="n">
        <x:f>MAX(0,C18-C26)</x:f>
        <x:v>0</x:v>
      </x:c>
      <x:c r="D27" s="61" t="n">
        <x:f>MAX(0,D18-D26)</x:f>
        <x:v>0</x:v>
      </x:c>
      <x:c r="E27" s="61" t="n">
        <x:f>MAX(0,E18-E26)</x:f>
        <x:v>0</x:v>
      </x:c>
      <x:c r="F27" s="61" t="n">
        <x:f>MAX(0,F18-F26)</x:f>
        <x:v>0</x:v>
      </x:c>
    </x:row>
    <x:row r="28" ht="16.5" customHeight="1">
      <x:c r="A28" s="39" t="str">
        <x:v>Corporation tax rate</x:v>
      </x:c>
      <x:c r="B28" s="62" t="n">
        <x:f>IF(Assumptions!$B$11="IE",Assumptions!$B$16,Assumptions!$B$15)</x:f>
        <x:v>0.3</x:v>
      </x:c>
      <x:c r="C28" s="62" t="n">
        <x:f>Assumptions!$B$15</x:f>
        <x:v>0.3</x:v>
      </x:c>
      <x:c r="D28" s="62" t="n">
        <x:f>Assumptions!$B$15</x:f>
        <x:v>0.3</x:v>
      </x:c>
      <x:c r="E28" s="62" t="n">
        <x:f>Assumptions!$B$15</x:f>
        <x:v>0.3</x:v>
      </x:c>
      <x:c r="F28" s="62" t="n">
        <x:f>Assumptions!$B$16</x:f>
        <x:v>0.125</x:v>
      </x:c>
    </x:row>
    <x:row r="29" ht="16.5" customHeight="1">
      <x:c r="A29" s="39" t="str">
        <x:v>Corporation tax payable</x:v>
      </x:c>
      <x:c r="B29" s="63" t="n">
        <x:f>B27*B28</x:f>
        <x:v>0</x:v>
      </x:c>
      <x:c r="C29" s="63" t="n">
        <x:f>C27*C28</x:f>
        <x:v>0</x:v>
      </x:c>
      <x:c r="D29" s="63" t="n">
        <x:f>D27*D28</x:f>
        <x:v>0</x:v>
      </x:c>
      <x:c r="E29" s="63" t="n">
        <x:f>E27*E28</x:f>
        <x:v>0</x:v>
      </x:c>
      <x:c r="F29" s="63" t="n">
        <x:f>F27*F28</x:f>
        <x:v>0</x:v>
      </x:c>
    </x:row>
    <x:row r="30" ht="16.5" customHeight="1">
      <x:c r="A30" s="39" t="str">
        <x:v>Corporation tax saved vs before</x:v>
      </x:c>
      <x:c r="B30" s="63" t="n">
        <x:v>0</x:v>
      </x:c>
      <x:c r="C30" s="63" t="n">
        <x:f>$B$29-C29</x:f>
        <x:v>0</x:v>
      </x:c>
      <x:c r="D30" s="63" t="n">
        <x:f>$B$29-D29</x:f>
        <x:v>0</x:v>
      </x:c>
      <x:c r="E30" s="63" t="n">
        <x:f>$B$29-E29</x:f>
        <x:v>0</x:v>
      </x:c>
      <x:c r="F30" s="63" t="n">
        <x:f>$B$29-F29</x:f>
        <x:v>0</x:v>
      </x:c>
    </x:row>
    <x:row r="31" ht="16.5" customHeight="1">
      <x:c r="A31" s="42"/>
      <x:c r="B31" s="42"/>
      <x:c r="C31" s="42"/>
      <x:c r="D31" s="42"/>
      <x:c r="E31" s="42"/>
      <x:c r="F31" s="42"/>
    </x:row>
    <x:row r="32" ht="16.5" customHeight="1">
      <x:c r="A32" s="43" t="str">
        <x:v>Personal / owner value</x:v>
      </x:c>
      <x:c r="B32" s="43"/>
      <x:c r="C32" s="43"/>
      <x:c r="D32" s="43"/>
      <x:c r="E32" s="43"/>
      <x:c r="F32" s="43"/>
    </x:row>
    <x:row r="33" ht="16.5" customHeight="1">
      <x:c r="A33" s="39" t="str">
        <x:v>Office rent after personal tax</x:v>
      </x:c>
      <x:c r="B33" s="61" t="n">
        <x:v>0</x:v>
      </x:c>
      <x:c r="C33" s="61" t="n">
        <x:f>C19*(1-Assumptions!$B$17*Assumptions!$B$30)</x:f>
        <x:v>0</x:v>
      </x:c>
      <x:c r="D33" s="61" t="n">
        <x:f>D19*(1-Assumptions!$B$17*Assumptions!$B$30)</x:f>
        <x:v>0</x:v>
      </x:c>
      <x:c r="E33" s="61" t="n">
        <x:f>E19*(1-Assumptions!$B$17*Assumptions!$B$30)</x:f>
        <x:v>0</x:v>
      </x:c>
      <x:c r="F33" s="61" t="n">
        <x:f>F19*(1-Assumptions!$B$17*Assumptions!$B$30)</x:f>
        <x:v>0</x:v>
      </x:c>
    </x:row>
    <x:row r="34" ht="16.5" customHeight="1">
      <x:c r="A34" s="39" t="str">
        <x:v>Travel / other costs shifted from personal</x:v>
      </x:c>
      <x:c r="B34" s="61" t="n">
        <x:v>0</x:v>
      </x:c>
      <x:c r="C34" s="61" t="n">
        <x:f>C20</x:f>
        <x:v>0</x:v>
      </x:c>
      <x:c r="D34" s="61" t="n">
        <x:f>D20</x:f>
        <x:v>0</x:v>
      </x:c>
      <x:c r="E34" s="61" t="n">
        <x:f>E20</x:f>
        <x:v>0</x:v>
      </x:c>
      <x:c r="F34" s="61" t="n">
        <x:f>F20</x:f>
        <x:v>0</x:v>
      </x:c>
    </x:row>
    <x:row r="35" ht="16.5" customHeight="1">
      <x:c r="A35" s="39" t="str">
        <x:v>Investment planning benefit</x:v>
      </x:c>
      <x:c r="B35" s="61" t="n">
        <x:v>0</x:v>
      </x:c>
      <x:c r="C35" s="61" t="n">
        <x:f>C21</x:f>
        <x:v>0</x:v>
      </x:c>
      <x:c r="D35" s="61" t="n">
        <x:f>D21</x:f>
        <x:v>0</x:v>
      </x:c>
      <x:c r="E35" s="61" t="n">
        <x:f>E21</x:f>
        <x:v>0</x:v>
      </x:c>
      <x:c r="F35" s="61" t="n">
        <x:f>F21</x:f>
        <x:v>0</x:v>
      </x:c>
    </x:row>
    <x:row r="36" ht="16.5" customHeight="1">
      <x:c r="A36" s="39" t="str">
        <x:v>Pension reserve value</x:v>
      </x:c>
      <x:c r="B36" s="61" t="n">
        <x:v>0</x:v>
      </x:c>
      <x:c r="C36" s="61" t="n">
        <x:f>C23</x:f>
        <x:v>0</x:v>
      </x:c>
      <x:c r="D36" s="61" t="n">
        <x:f>D23</x:f>
        <x:v>0</x:v>
      </x:c>
      <x:c r="E36" s="61" t="n">
        <x:f>E23</x:f>
        <x:v>0</x:v>
      </x:c>
      <x:c r="F36" s="61" t="n">
        <x:f>F23</x:f>
        <x:v>0</x:v>
      </x:c>
    </x:row>
    <x:row r="37" ht="16.5" customHeight="1">
      <x:c r="A37" s="39" t="str">
        <x:v>Director fee after personal tax</x:v>
      </x:c>
      <x:c r="B37" s="61" t="n">
        <x:v>0</x:v>
      </x:c>
      <x:c r="C37" s="61" t="n">
        <x:f>C24*(1-Assumptions!$B$47)</x:f>
        <x:v>0</x:v>
      </x:c>
      <x:c r="D37" s="61" t="n">
        <x:f>D24*(1-Assumptions!$B$47)</x:f>
        <x:v>0</x:v>
      </x:c>
      <x:c r="E37" s="61" t="n">
        <x:f>E24*(1-Assumptions!$B$47)</x:f>
        <x:v>0</x:v>
      </x:c>
      <x:c r="F37" s="61" t="n">
        <x:f>F24*(1-Assumptions!$B$47)</x:f>
        <x:v>0</x:v>
      </x:c>
    </x:row>
    <x:row r="38" ht="16.5" customHeight="1">
      <x:c r="A38" s="42"/>
      <x:c r="B38" s="42"/>
      <x:c r="C38" s="42"/>
      <x:c r="D38" s="42"/>
      <x:c r="E38" s="42"/>
      <x:c r="F38" s="42"/>
    </x:row>
    <x:row r="39" ht="16.5" customHeight="1">
      <x:c r="A39" s="51" t="str">
        <x:v>Outcome</x:v>
      </x:c>
      <x:c r="B39" s="52"/>
      <x:c r="C39" s="52"/>
      <x:c r="D39" s="52"/>
      <x:c r="E39" s="52"/>
      <x:c r="F39" s="53"/>
    </x:row>
    <x:row r="40" ht="21" customHeight="1">
      <x:c r="A40" s="54" t="str">
        <x:v>Incremental value before RB fee</x:v>
      </x:c>
      <x:c r="B40" s="64" t="n">
        <x:v>0</x:v>
      </x:c>
      <x:c r="C40" s="64" t="n">
        <x:f>C30+SUM(C33:C37)</x:f>
        <x:v>0</x:v>
      </x:c>
      <x:c r="D40" s="64" t="n">
        <x:f>D30+SUM(D33:D37)</x:f>
        <x:v>0</x:v>
      </x:c>
      <x:c r="E40" s="64" t="n">
        <x:f>E30+SUM(E33:E37)</x:f>
        <x:v>0</x:v>
      </x:c>
      <x:c r="F40" s="65" t="n">
        <x:f>F30+SUM(F33:F37)</x:f>
        <x:v>0</x:v>
      </x:c>
    </x:row>
    <x:row r="41" ht="21" customHeight="1">
      <x:c r="A41" s="54" t="str">
        <x:v>Net savings after RB fee</x:v>
      </x:c>
      <x:c r="B41" s="64" t="n">
        <x:v>0</x:v>
      </x:c>
      <x:c r="C41" s="64" t="n">
        <x:f>C40-C15</x:f>
        <x:v>-500</x:v>
      </x:c>
      <x:c r="D41" s="64" t="n">
        <x:f>D40-D15</x:f>
        <x:v>-1000</x:v>
      </x:c>
      <x:c r="E41" s="64" t="n">
        <x:f>E40-E15</x:f>
        <x:v>-1200</x:v>
      </x:c>
      <x:c r="F41" s="65" t="n">
        <x:f>F40-F15</x:f>
        <x:v>-1500</x:v>
      </x:c>
    </x:row>
    <x:row r="42" ht="21" customHeight="1">
      <x:c r="A42" s="54" t="str">
        <x:v>Net savings multiple of fee</x:v>
      </x:c>
      <x:c r="B42" s="66" t="str"/>
      <x:c r="C42" s="66" t="n">
        <x:f>IF(C15&gt;0,C41/C15,"")</x:f>
        <x:v>-1</x:v>
      </x:c>
      <x:c r="D42" s="66" t="n">
        <x:f>IF(D15&gt;0,D41/D15,"")</x:f>
        <x:v>-1</x:v>
      </x:c>
      <x:c r="E42" s="66" t="n">
        <x:f>IF(E15&gt;0,E41/E15,"")</x:f>
        <x:v>-1</x:v>
      </x:c>
      <x:c r="F42" s="67" t="n">
        <x:f>IF(F15&gt;0,F41/F15,"")</x:f>
        <x:v>-1</x:v>
      </x:c>
    </x:row>
    <x:row r="43" ht="33" customHeight="1">
      <x:c r="A43" s="56" t="str">
        <x:v>Review note</x:v>
      </x:c>
      <x:c r="B43" s="57" t="str">
        <x:v>Baseline before RB analysis</x:v>
      </x:c>
      <x:c r="C43" s="57" t="str">
        <x:v>No optimisation; 1-employee review fee</x:v>
      </x:c>
      <x:c r="D43" s="57" t="str">
        <x:v>Surcharge applies only if employees exceed 3</x:v>
      </x:c>
      <x:c r="E43" s="57" t="str">
        <x:v>Confirm surcharge treatment if employees exceed 3</x:v>
      </x:c>
      <x:c r="F43" s="58" t="str">
        <x:v>Confirm director fee and IE tax treatment</x:v>
      </x:c>
    </x:row>
    <x:row r="44" ht="16.5" customHeight="1">
      <x:c r="A44" s="42"/>
      <x:c r="B44" s="42"/>
      <x:c r="C44" s="42"/>
      <x:c r="D44" s="42"/>
      <x:c r="E44" s="42"/>
      <x:c r="F44" s="42"/>
    </x:row>
    <x:row r="45" ht="16.5" customHeight="1">
      <x:c r="A45" s="43" t="str">
        <x:v>Model checks</x:v>
      </x:c>
      <x:c r="B45" s="43"/>
      <x:c r="C45" s="43"/>
      <x:c r="D45" s="43"/>
      <x:c r="E45" s="43"/>
      <x:c r="F45" s="43"/>
    </x:row>
    <x:row r="46" ht="16.5" customHeight="1">
      <x:c r="A46" s="49" t="str">
        <x:v>Before tax payable ties</x:v>
      </x:c>
      <x:c r="B46" s="50" t="str">
        <x:f>IF(ROUND(B29,2)=ROUND(Assumptions!$B$25,2),"OK","Review")</x:f>
        <x:v>OK</x:v>
      </x:c>
      <x:c r="C46" s="50" t="str"/>
      <x:c r="D46" s="50" t="str"/>
      <x:c r="E46" s="50" t="str"/>
      <x:c r="F46" s="50" t="str"/>
    </x:row>
    <x:row r="47" ht="16.5" customHeight="1">
      <x:c r="A47" s="49" t="str">
        <x:v>Non-negative taxable profit</x:v>
      </x:c>
      <x:c r="B47" s="50" t="str">
        <x:f>IF(MIN(B27:F27)&gt;=0,"OK","Review")</x:f>
        <x:v>OK</x:v>
      </x:c>
      <x:c r="C47" s="50" t="str"/>
      <x:c r="D47" s="50" t="str"/>
      <x:c r="E47" s="50" t="str"/>
      <x:c r="F47" s="50" t="str"/>
    </x:row>
    <x:row r="48" ht="16.5" customHeight="1">
      <x:c r="A48" s="49" t="str">
        <x:v>P&amp;L activation status</x:v>
      </x:c>
      <x:c r="B48" s="50" t="str">
        <x:f>IF(Assumptions!$B$8="Client choice pending","Pending client choice","Scenario selected")</x:f>
        <x:v>Pending client choice</x:v>
      </x:c>
      <x:c r="C48" s="50" t="str"/>
      <x:c r="D48" s="50" t="str"/>
      <x:c r="E48" s="50" t="str"/>
      <x:c r="F48" s="50" t="str"/>
    </x:row>
    <x:row r="49" ht="16.5" customHeight="1"/>
    <x:row r="50" ht="16.5" customHeight="1"/>
    <x:row r="51" ht="16.5" customHeight="1"/>
    <x:row r="52" ht="16.5" customHeight="1"/>
    <x:row r="53" ht="16.5" customHeight="1"/>
    <x:row r="54" ht="16.5" customHeight="1"/>
    <x:row r="55" ht="16.5" customHeight="1"/>
    <x:row r="56" ht="16.5" customHeight="1"/>
    <x:row r="57" ht="16.5" customHeight="1"/>
    <x:row r="58" ht="16.5" customHeight="1"/>
    <x:row r="59" ht="16.5" customHeight="1"/>
    <x:row r="60" ht="16.5" customHeight="1"/>
    <x:row r="61" ht="16.5" customHeight="1"/>
    <x:row r="62" ht="16.5" customHeight="1"/>
    <x:row r="63" ht="16.5" customHeight="1"/>
    <x:row r="64" ht="16.5" customHeight="1"/>
    <x:row r="65" ht="16.5" customHeight="1"/>
    <x:row r="66" ht="16.5" customHeight="1"/>
    <x:row r="67" ht="16.5" customHeight="1"/>
    <x:row r="68" ht="16.5" customHeight="1"/>
    <x:row r="69" ht="16.5" customHeight="1"/>
    <x:row r="70" ht="16.5" customHeight="1"/>
    <x:row r="71" ht="16.5" customHeight="1"/>
    <x:row r="72" ht="16.5" customHeight="1"/>
    <x:row r="73" ht="16.5" customHeight="1"/>
    <x:row r="74" ht="16.5" customHeight="1"/>
    <x:row r="75" ht="16.5" customHeight="1"/>
    <x:row r="76" ht="16.5" customHeight="1"/>
    <x:row r="77" ht="16.5" customHeight="1"/>
    <x:row r="78" ht="16.5" customHeight="1"/>
    <x:row r="79" ht="16.5" customHeight="1"/>
    <x:row r="80" ht="16.5" customHeight="1"/>
  </x:sheetData>
  <x:mergeCells>
    <x:mergeCell ref="A1:F1"/>
    <x:mergeCell ref="A2:F2"/>
    <x:mergeCell ref="A17:F17"/>
    <x:mergeCell ref="A32:F32"/>
    <x:mergeCell ref="A39:F39"/>
    <x:mergeCell ref="A45:F4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.560001373291016" hidden="0" customWidth="1"/>
    <x:col min="2" max="2" width="24.440000534057617" hidden="0" customWidth="1"/>
    <x:col min="3" max="3" width="33.33000183105469" hidden="0" customWidth="1"/>
    <x:col min="4" max="4" width="42.220001220703125" hidden="0" customWidth="1"/>
  </x:cols>
  <x:sheetData>
    <x:row r="1" ht="16.5" customHeight="1">
      <x:c r="A1" s="4" t="str">
        <x:v>Assumptions</x:v>
      </x:c>
      <x:c r="B1" s="4"/>
      <x:c r="C1" s="4"/>
      <x:c r="D1" s="4"/>
    </x:row>
    <x:row r="2" ht="33" customHeight="1">
      <x:c r="A2" s="8" t="str">
        <x:v>Inputs are deliberately generic. Blue text marks editable cells. Keep tax treatment provisional until reviewed for the client and jurisdiction.</x:v>
      </x:c>
      <x:c r="B2" s="8"/>
      <x:c r="C2" s="8"/>
      <x:c r="D2" s="8"/>
    </x:row>
    <x:row r="3" ht="16.5" customHeight="1"/>
    <x:row r="4" ht="16.5" customHeight="1">
      <x:c r="A4" s="43" t="str">
        <x:v>Core setup</x:v>
      </x:c>
      <x:c r="B4" s="43"/>
      <x:c r="C4" s="43"/>
      <x:c r="D4" s="43"/>
    </x:row>
    <x:row r="5" ht="16.5" customHeight="1">
      <x:c r="A5" s="38" t="str">
        <x:v>Client / project name</x:v>
      </x:c>
      <x:c r="B5" s="80" t="str">
        <x:v>Client name here</x:v>
      </x:c>
      <x:c r="C5" s="42" t="str">
        <x:v>Status</x:v>
      </x:c>
      <x:c r="D5" s="42" t="str">
        <x:v>provisional</x:v>
      </x:c>
    </x:row>
    <x:row r="6" ht="16.5" customHeight="1">
      <x:c r="A6" s="38" t="str">
        <x:v>Analysis year</x:v>
      </x:c>
      <x:c r="B6" s="80" t="n">
        <x:v>2026</x:v>
      </x:c>
      <x:c r="C6" s="42" t="str">
        <x:v>Source</x:v>
      </x:c>
      <x:c r="D6" s="42" t="str">
        <x:v>User instruction in Codex chat</x:v>
      </x:c>
    </x:row>
    <x:row r="7" ht="16.5" customHeight="1">
      <x:c r="A7" s="38" t="str">
        <x:v>Currency</x:v>
      </x:c>
      <x:c r="B7" s="80" t="str">
        <x:v>EUR</x:v>
      </x:c>
      <x:c r="C7" s="42" t="str">
        <x:v>Imported</x:v>
      </x:c>
      <x:c r="D7" s="42" t="str">
        <x:v>2026-06-12</x:v>
      </x:c>
    </x:row>
    <x:row r="8" ht="16.5" customHeight="1">
      <x:c r="A8" s="38" t="str">
        <x:v>Selected scenario for P&amp;L add-on</x:v>
      </x:c>
      <x:c r="B8" s="80" t="str">
        <x:v>Client choice pending</x:v>
      </x:c>
      <x:c r="C8" s="42" t="str">
        <x:v>Review</x:v>
      </x:c>
      <x:c r="D8" s="42" t="str">
        <x:v>Choose only after client decision</x:v>
      </x:c>
    </x:row>
    <x:row r="9" ht="16.5" customHeight="1">
      <x:c r="A9" s="38" t="str">
        <x:v>Total employees</x:v>
      </x:c>
      <x:c r="B9" s="80" t="n">
        <x:v>1</x:v>
      </x:c>
      <x:c r="C9" s="42" t="str"/>
      <x:c r="D9" s="42" t="str"/>
    </x:row>
    <x:row r="10" ht="16.5" customHeight="1">
      <x:c r="A10" s="38" t="str">
        <x:v>Single person / director</x:v>
      </x:c>
      <x:c r="B10" s="80" t="str">
        <x:v>Yes</x:v>
      </x:c>
      <x:c r="C10" s="42" t="str"/>
      <x:c r="D10" s="42" t="str"/>
    </x:row>
    <x:row r="11" ht="16.5" customHeight="1">
      <x:c r="A11" s="38" t="str">
        <x:v>Baseline company tax residence</x:v>
      </x:c>
      <x:c r="B11" s="80" t="str">
        <x:v>DE</x:v>
      </x:c>
      <x:c r="C11" s="42" t="str"/>
      <x:c r="D11" s="42" t="str"/>
    </x:row>
    <x:row r="12" ht="16.5" customHeight="1">
      <x:c r="A12" s="38"/>
      <x:c r="B12" s="80"/>
      <x:c r="C12" s="42"/>
      <x:c r="D12" s="42"/>
    </x:row>
    <x:row r="13" ht="16.5" customHeight="1">
      <x:c r="A13" s="38"/>
      <x:c r="B13" s="80"/>
      <x:c r="C13" s="42"/>
      <x:c r="D13" s="42"/>
    </x:row>
    <x:row r="14" ht="16.5" customHeight="1">
      <x:c r="A14" s="81" t="str">
        <x:v>Tax rates</x:v>
      </x:c>
      <x:c r="B14" s="82"/>
      <x:c r="C14" s="43"/>
      <x:c r="D14" s="43"/>
    </x:row>
    <x:row r="15" ht="16.5" customHeight="1">
      <x:c r="A15" s="38" t="str">
        <x:v>DE combined corporation / trade tax rate</x:v>
      </x:c>
      <x:c r="B15" s="97" t="n">
        <x:v>0.3</x:v>
      </x:c>
      <x:c r="C15" s="42" t="str">
        <x:v>Review</x:v>
      </x:c>
      <x:c r="D15" s="42" t="str">
        <x:v>Replace with client-specific rate</x:v>
      </x:c>
    </x:row>
    <x:row r="16" ht="16.5" customHeight="1">
      <x:c r="A16" s="38" t="str">
        <x:v>IE corporation tax rate</x:v>
      </x:c>
      <x:c r="B16" s="97" t="n">
        <x:v>0.125</x:v>
      </x:c>
      <x:c r="C16" s="42" t="str">
        <x:v>Review</x:v>
      </x:c>
      <x:c r="D16" s="42" t="str">
        <x:v>Confirm trading/passive rate</x:v>
      </x:c>
    </x:row>
    <x:row r="17" ht="16.5" customHeight="1">
      <x:c r="A17" s="38" t="str">
        <x:v>Personal tax rate on office rent</x:v>
      </x:c>
      <x:c r="B17" s="97" t="n">
        <x:v>0.42</x:v>
      </x:c>
      <x:c r="C17" s="42" t="str">
        <x:v>Review</x:v>
      </x:c>
      <x:c r="D17" s="42" t="str">
        <x:v>Use client's marginal rate</x:v>
      </x:c>
    </x:row>
    <x:row r="18" ht="16.5" customHeight="1">
      <x:c r="A18" s="38" t="str">
        <x:v>Personal tax / director fee rate</x:v>
      </x:c>
      <x:c r="B18" s="97" t="n">
        <x:v>0.4</x:v>
      </x:c>
      <x:c r="C18" s="42" t="str">
        <x:v>Review</x:v>
      </x:c>
      <x:c r="D18" s="42" t="str">
        <x:v>Use client's marginal rate</x:v>
      </x:c>
    </x:row>
    <x:row r="19" ht="16.5" customHeight="1">
      <x:c r="A19" s="38"/>
      <x:c r="B19" s="80"/>
      <x:c r="C19" s="42"/>
      <x:c r="D19" s="42"/>
    </x:row>
    <x:row r="20" ht="16.5" customHeight="1">
      <x:c r="A20" s="38"/>
      <x:c r="B20" s="80"/>
      <x:c r="C20" s="42"/>
      <x:c r="D20" s="42"/>
    </x:row>
    <x:row r="21" ht="16.5" customHeight="1">
      <x:c r="A21" s="38"/>
      <x:c r="B21" s="80"/>
      <x:c r="C21" s="42"/>
      <x:c r="D21" s="42"/>
    </x:row>
    <x:row r="22" ht="16.5" customHeight="1">
      <x:c r="A22" s="81" t="str">
        <x:v>Baseline company before analysis</x:v>
      </x:c>
      <x:c r="B22" s="82"/>
      <x:c r="C22" s="43"/>
      <x:c r="D22" s="43"/>
    </x:row>
    <x:row r="23" ht="16.5" customHeight="1">
      <x:c r="A23" s="38" t="str">
        <x:v>Annual company revenue for P&amp;L add-on</x:v>
      </x:c>
      <x:c r="B23" s="98" t="n">
        <x:v>0</x:v>
      </x:c>
      <x:c r="C23" s="42" t="str">
        <x:v>Optional</x:v>
      </x:c>
      <x:c r="D23" s="42" t="str">
        <x:v>Used only after scenario choice</x:v>
      </x:c>
    </x:row>
    <x:row r="24" ht="16.5" customHeight="1">
      <x:c r="A24" s="38" t="str">
        <x:v>Taxable profit before optimisation</x:v>
      </x:c>
      <x:c r="B24" s="98" t="n">
        <x:v>0</x:v>
      </x:c>
      <x:c r="C24" s="42" t="str">
        <x:v>Input</x:v>
      </x:c>
      <x:c r="D24" s="42" t="str">
        <x:v>Before RB savings work</x:v>
      </x:c>
    </x:row>
    <x:row r="25" ht="16.5" customHeight="1">
      <x:c r="A25" s="38" t="str">
        <x:v>Baseline tax payable</x:v>
      </x:c>
      <x:c r="B25" s="59" t="n">
        <x:f>B24*IF(B11="IE",B16,B15)</x:f>
        <x:v>0</x:v>
      </x:c>
      <x:c r="C25" s="42" t="str">
        <x:v>Formula</x:v>
      </x:c>
      <x:c r="D25" s="42" t="str">
        <x:v>Used for savings comparison</x:v>
      </x:c>
    </x:row>
    <x:row r="26" ht="16.5" customHeight="1">
      <x:c r="A26" s="38" t="str">
        <x:v>Baseline net personal cash / salary</x:v>
      </x:c>
      <x:c r="B26" s="98" t="n">
        <x:v>0</x:v>
      </x:c>
      <x:c r="C26" s="42" t="str">
        <x:v>Optional</x:v>
      </x:c>
      <x:c r="D26" s="42" t="str">
        <x:v>Not used in comparison unless added later</x:v>
      </x:c>
    </x:row>
    <x:row r="27" ht="16.5" customHeight="1">
      <x:c r="A27" s="38"/>
      <x:c r="B27" s="83"/>
      <x:c r="C27" s="42"/>
      <x:c r="D27" s="42"/>
    </x:row>
    <x:row r="28" ht="16.5" customHeight="1">
      <x:c r="A28" s="81" t="str">
        <x:v>Office rent and business travel</x:v>
      </x:c>
      <x:c r="B28" s="84"/>
      <x:c r="C28" s="43"/>
      <x:c r="D28" s="43"/>
    </x:row>
    <x:row r="29" ht="30" customHeight="1">
      <x:c r="A29" s="38" t="str">
        <x:v>Annual office rent company can pay to individual</x:v>
      </x:c>
      <x:c r="B29" s="98" t="n">
        <x:v>0</x:v>
      </x:c>
      <x:c r="C29" s="42" t="str">
        <x:v>Input</x:v>
      </x:c>
      <x:c r="D29" s="42" t="str">
        <x:v>Company-to-person rent assumption</x:v>
      </x:c>
    </x:row>
    <x:row r="30" ht="16.5" customHeight="1">
      <x:c r="A30" s="38" t="str">
        <x:v>Taxable share of office rent</x:v>
      </x:c>
      <x:c r="B30" s="97" t="n">
        <x:v>1</x:v>
      </x:c>
      <x:c r="C30" s="42" t="str">
        <x:v>Input</x:v>
      </x:c>
      <x:c r="D30" s="42" t="str">
        <x:v>100% means fully taxable personally</x:v>
      </x:c>
    </x:row>
    <x:row r="31" ht="16.5" customHeight="1">
      <x:c r="A31" s="38" t="str">
        <x:v>Annual business travel to shift to company</x:v>
      </x:c>
      <x:c r="B31" s="98" t="n">
        <x:v>0</x:v>
      </x:c>
      <x:c r="C31" s="42" t="str">
        <x:v>Input</x:v>
      </x:c>
      <x:c r="D31" s="42" t="str">
        <x:v>Costs otherwise paid personally</x:v>
      </x:c>
    </x:row>
    <x:row r="32" ht="16.5" customHeight="1">
      <x:c r="A32" s="38" t="str">
        <x:v>Other business expenses to optimise</x:v>
      </x:c>
      <x:c r="B32" s="98" t="n">
        <x:v>0</x:v>
      </x:c>
      <x:c r="C32" s="42" t="str">
        <x:v>Input</x:v>
      </x:c>
      <x:c r="D32" s="42" t="str">
        <x:v>Subscriptions, equipment, training, etc.</x:v>
      </x:c>
    </x:row>
    <x:row r="33" ht="16.5" customHeight="1">
      <x:c r="A33" s="38"/>
      <x:c r="B33" s="80"/>
      <x:c r="C33" s="42"/>
      <x:c r="D33" s="42"/>
    </x:row>
    <x:row r="34" ht="16.5" customHeight="1">
      <x:c r="A34" s="38"/>
      <x:c r="B34" s="80"/>
      <x:c r="C34" s="42"/>
      <x:c r="D34" s="42"/>
    </x:row>
    <x:row r="35" ht="16.5" customHeight="1">
      <x:c r="A35" s="81" t="str">
        <x:v>Car purchase and depreciation</x:v>
      </x:c>
      <x:c r="B35" s="82"/>
      <x:c r="C35" s="43"/>
      <x:c r="D35" s="43"/>
    </x:row>
    <x:row r="36" ht="16.5" customHeight="1">
      <x:c r="A36" s="38" t="str">
        <x:v>Car purchase price</x:v>
      </x:c>
      <x:c r="B36" s="98" t="n">
        <x:v>0</x:v>
      </x:c>
      <x:c r="C36" s="42" t="str">
        <x:v>Input</x:v>
      </x:c>
      <x:c r="D36" s="42" t="str">
        <x:v>For depreciation estimate only</x:v>
      </x:c>
    </x:row>
    <x:row r="37" ht="16.5" customHeight="1">
      <x:c r="A37" s="38" t="str">
        <x:v>Depreciation years</x:v>
      </x:c>
      <x:c r="B37" s="80" t="n">
        <x:v>5</x:v>
      </x:c>
      <x:c r="C37" s="42" t="str">
        <x:v>Input</x:v>
      </x:c>
      <x:c r="D37" s="42" t="str">
        <x:v>Straight-line template assumption</x:v>
      </x:c>
    </x:row>
    <x:row r="38" ht="16.5" customHeight="1">
      <x:c r="A38" s="38" t="str">
        <x:v>Business use %</x:v>
      </x:c>
      <x:c r="B38" s="97" t="n">
        <x:v>1</x:v>
      </x:c>
      <x:c r="C38" s="42" t="str">
        <x:v>Input</x:v>
      </x:c>
      <x:c r="D38" s="42" t="str">
        <x:v>Deductible business-use percentage</x:v>
      </x:c>
    </x:row>
    <x:row r="39" ht="16.5" customHeight="1">
      <x:c r="A39" s="38" t="str">
        <x:v>Annual car depreciation</x:v>
      </x:c>
      <x:c r="B39" s="59" t="n">
        <x:f>IF(B37&gt;0,B36/B37*B38,0)</x:f>
        <x:v>0</x:v>
      </x:c>
      <x:c r="C39" s="42" t="str">
        <x:v>Formula</x:v>
      </x:c>
      <x:c r="D39" s="42" t="str">
        <x:v>Used in options 2, 3, and 4</x:v>
      </x:c>
    </x:row>
    <x:row r="40" ht="16.5" customHeight="1">
      <x:c r="A40" s="38"/>
      <x:c r="B40" s="83"/>
      <x:c r="C40" s="42"/>
      <x:c r="D40" s="42"/>
    </x:row>
    <x:row r="41" ht="16.5" customHeight="1">
      <x:c r="A41" s="81" t="str">
        <x:v>Investment and pension</x:v>
      </x:c>
      <x:c r="B41" s="84"/>
      <x:c r="C41" s="43"/>
      <x:c r="D41" s="43"/>
    </x:row>
    <x:row r="42" ht="16.5" customHeight="1">
      <x:c r="A42" s="38" t="str">
        <x:v>Other investment planning benefit</x:v>
      </x:c>
      <x:c r="B42" s="98" t="n">
        <x:v>0</x:v>
      </x:c>
      <x:c r="C42" s="42" t="str">
        <x:v>Input</x:v>
      </x:c>
      <x:c r="D42" s="42" t="str">
        <x:v>Estimated annual value from investment support</x:v>
      </x:c>
    </x:row>
    <x:row r="43" ht="16.5" customHeight="1">
      <x:c r="A43" s="38" t="str">
        <x:v>Pension reserve / contribution</x:v>
      </x:c>
      <x:c r="B43" s="98" t="n">
        <x:v>0</x:v>
      </x:c>
      <x:c r="C43" s="42" t="str">
        <x:v>Input</x:v>
      </x:c>
      <x:c r="D43" s="42" t="str">
        <x:v>Included only in option 3</x:v>
      </x:c>
    </x:row>
    <x:row r="44" ht="16.5" customHeight="1">
      <x:c r="A44" s="38"/>
      <x:c r="B44" s="83"/>
      <x:c r="C44" s="42"/>
      <x:c r="D44" s="42"/>
    </x:row>
    <x:row r="45" ht="16.5" customHeight="1">
      <x:c r="A45" s="81" t="str">
        <x:v>Ireland option</x:v>
      </x:c>
      <x:c r="B45" s="84"/>
      <x:c r="C45" s="43"/>
      <x:c r="D45" s="43"/>
    </x:row>
    <x:row r="46" ht="30" customHeight="1">
      <x:c r="A46" s="38" t="str">
        <x:v>Director fee required for IE tax resident company</x:v>
      </x:c>
      <x:c r="B46" s="98" t="n">
        <x:v>0</x:v>
      </x:c>
      <x:c r="C46" s="42" t="str">
        <x:v>Input</x:v>
      </x:c>
      <x:c r="D46" s="42" t="str">
        <x:v>Included only in option 4</x:v>
      </x:c>
    </x:row>
    <x:row r="47" ht="16.5" customHeight="1">
      <x:c r="A47" s="38" t="str">
        <x:v>Director fee personal tax rate</x:v>
      </x:c>
      <x:c r="B47" s="99" t="n">
        <x:f>B18</x:f>
        <x:v>0.4</x:v>
      </x:c>
      <x:c r="C47" s="42" t="str">
        <x:v>Formula</x:v>
      </x:c>
      <x:c r="D47" s="42" t="str">
        <x:v>Override personal rate above if needed</x:v>
      </x:c>
    </x:row>
    <x:row r="48" ht="16.5" customHeight="1">
      <x:c r="A48" s="38"/>
      <x:c r="B48" s="83"/>
      <x:c r="C48" s="42"/>
      <x:c r="D48" s="42"/>
    </x:row>
    <x:row r="49" ht="16.5" customHeight="1">
      <x:c r="A49" s="89" t="str">
        <x:v>RB fee schedule</x:v>
      </x:c>
      <x:c r="B49" s="90"/>
      <x:c r="C49" s="52"/>
      <x:c r="D49" s="53"/>
    </x:row>
    <x:row r="50" ht="16.5" customHeight="1">
      <x:c r="A50" s="91" t="str">
        <x:v>Option 1 basic analysis fee</x:v>
      </x:c>
      <x:c r="B50" s="98" t="n">
        <x:v>500</x:v>
      </x:c>
      <x:c r="C50" s="42" t="str">
        <x:v>Source</x:v>
      </x:c>
      <x:c r="D50" s="92" t="str">
        <x:v>User instruction, 2026-06-12</x:v>
      </x:c>
    </x:row>
    <x:row r="51" ht="16.5" customHeight="1">
      <x:c r="A51" s="91" t="str">
        <x:v>Option 2 full optimisation base fee</x:v>
      </x:c>
      <x:c r="B51" s="98" t="n">
        <x:v>1000</x:v>
      </x:c>
      <x:c r="C51" s="42" t="str">
        <x:v>Source</x:v>
      </x:c>
      <x:c r="D51" s="92" t="str">
        <x:v>User instruction, 2026-06-12</x:v>
      </x:c>
    </x:row>
    <x:row r="52" ht="16.5" customHeight="1">
      <x:c r="A52" s="91" t="str">
        <x:v>Option 2 employee surcharge threshold</x:v>
      </x:c>
      <x:c r="B52" s="98" t="n">
        <x:v>3</x:v>
      </x:c>
      <x:c r="C52" s="42" t="str">
        <x:v>Source</x:v>
      </x:c>
      <x:c r="D52" s="92" t="str">
        <x:v>Surcharge applies when total employees exceed 3</x:v>
      </x:c>
    </x:row>
    <x:row r="53" ht="16.5" customHeight="1">
      <x:c r="A53" s="91" t="str">
        <x:v>Option 2 employee surcharge</x:v>
      </x:c>
      <x:c r="B53" s="98" t="n">
        <x:v>200</x:v>
      </x:c>
      <x:c r="C53" s="42" t="str">
        <x:v>Source</x:v>
      </x:c>
      <x:c r="D53" s="92" t="str">
        <x:v>User instruction, 2026-06-12</x:v>
      </x:c>
    </x:row>
    <x:row r="54" ht="16.5" customHeight="1">
      <x:c r="A54" s="91" t="str">
        <x:v>Option 3 pension reserve fee</x:v>
      </x:c>
      <x:c r="B54" s="98" t="n">
        <x:v>1200</x:v>
      </x:c>
      <x:c r="C54" s="42" t="str">
        <x:v>Source</x:v>
      </x:c>
      <x:c r="D54" s="92" t="str">
        <x:v>User instruction, 2026-06-12</x:v>
      </x:c>
    </x:row>
    <x:row r="55" ht="16.5" customHeight="1">
      <x:c r="A55" s="93" t="str">
        <x:v>Option 4 IE resident / director fee</x:v>
      </x:c>
      <x:c r="B55" s="100" t="n">
        <x:v>1500</x:v>
      </x:c>
      <x:c r="C55" s="95" t="str">
        <x:v>Source</x:v>
      </x:c>
      <x:c r="D55" s="96" t="str">
        <x:v>User instruction, 2026-06-12</x:v>
      </x:c>
    </x:row>
    <x:row r="56" ht="16.5" customHeight="1">
      <x:c r="A56" s="38"/>
      <x:c r="B56" s="83"/>
      <x:c r="C56" s="42"/>
      <x:c r="D56" s="42"/>
    </x:row>
    <x:row r="57" ht="16.5" customHeight="1">
      <x:c r="A57" s="38"/>
      <x:c r="B57" s="83"/>
      <x:c r="C57" s="42"/>
      <x:c r="D57" s="42"/>
    </x:row>
    <x:row r="58" ht="16.5" customHeight="1">
      <x:c r="A58" s="81" t="str">
        <x:v>Scenario definitions</x:v>
      </x:c>
      <x:c r="B58" s="84"/>
      <x:c r="C58" s="43"/>
      <x:c r="D58" s="43"/>
    </x:row>
    <x:row r="59" ht="43.5" customHeight="1">
      <x:c r="A59" s="85" t="str">
        <x:v>Scenario</x:v>
      </x:c>
      <x:c r="B59" s="85" t="str">
        <x:v>Fee rule</x:v>
      </x:c>
      <x:c r="C59" s="85" t="str">
        <x:v>Included</x:v>
      </x:c>
      <x:c r="D59" s="85" t="str">
        <x:v>Review</x:v>
      </x:c>
    </x:row>
    <x:row r="60" ht="43.5" customHeight="1">
      <x:c r="A60" s="38" t="str">
        <x:v>Option 1 - Basic analysis</x:v>
      </x:c>
      <x:c r="B60" s="86" t="str">
        <x:v>500</x:v>
      </x:c>
      <x:c r="C60" s="39" t="str">
        <x:v>No office rent, travel, investment, car depreciation, or pension reserve optimisation</x:v>
      </x:c>
      <x:c r="D60" s="39" t="str">
        <x:v>Designed for 1 employee</x:v>
      </x:c>
    </x:row>
    <x:row r="61" ht="43.5" customHeight="1">
      <x:c r="A61" s="38" t="str">
        <x:v>Option 2 - Full optimisation</x:v>
      </x:c>
      <x:c r="B61" s="86" t="str">
        <x:v>1000 + 200 if employees &gt; 3</x:v>
      </x:c>
      <x:c r="C61" s="39" t="str">
        <x:v>Office rent, business travel, other expenses, investment support, car depreciation</x:v>
      </x:c>
      <x:c r="D61" s="39" t="str">
        <x:v>Excludes pension reserve</x:v>
      </x:c>
    </x:row>
    <x:row r="62" ht="43.5" customHeight="1">
      <x:c r="A62" s="38" t="str">
        <x:v>Option 3 - Pension reserve</x:v>
      </x:c>
      <x:c r="B62" s="86" t="str">
        <x:v>1200</x:v>
      </x:c>
      <x:c r="C62" s="39" t="str">
        <x:v>Option 2 style optimisation plus pension reserve</x:v>
      </x:c>
      <x:c r="D62" s="39" t="str">
        <x:v>Confirm surcharge treatment for &gt;3 employees</x:v>
      </x:c>
    </x:row>
    <x:row r="63" ht="43.5" customHeight="1">
      <x:c r="A63" s="38" t="str">
        <x:v>Option 4 - IE resident</x:v>
      </x:c>
      <x:c r="B63" s="86" t="str">
        <x:v>1500</x:v>
      </x:c>
      <x:c r="C63" s="39" t="str">
        <x:v>Option 2 scope for IE tax resident company plus director fee</x:v>
      </x:c>
      <x:c r="D63" s="39" t="str">
        <x:v>Confirm director fee and IE company tax rate</x:v>
      </x:c>
    </x:row>
    <x:row r="64" ht="16.5" customHeight="1">
      <x:c r="A64" s="38"/>
      <x:c r="B64" s="83"/>
      <x:c r="C64" s="42"/>
      <x:c r="D64" s="42"/>
    </x:row>
    <x:row r="65" ht="16.5" customHeight="1">
      <x:c r="A65" s="38"/>
      <x:c r="B65" s="83"/>
      <x:c r="C65" s="42"/>
      <x:c r="D65" s="42"/>
    </x:row>
    <x:row r="66" ht="16.5" customHeight="1">
      <x:c r="A66" s="81" t="str">
        <x:v>Source and review log</x:v>
      </x:c>
      <x:c r="B66" s="84"/>
      <x:c r="C66" s="43"/>
      <x:c r="D66" s="43"/>
    </x:row>
    <x:row r="67" ht="51" customHeight="1">
      <x:c r="A67" s="49" t="str">
        <x:v>Status</x:v>
      </x:c>
      <x:c r="B67" s="87" t="str">
        <x:v>provisional</x:v>
      </x:c>
      <x:c r="C67" s="88" t="str">
        <x:v>Meaning</x:v>
      </x:c>
      <x:c r="D67" s="88" t="str">
        <x:v>Template and fee schedule are not approved client advice</x:v>
      </x:c>
    </x:row>
    <x:row r="68" ht="51" customHeight="1">
      <x:c r="A68" s="49" t="str">
        <x:v>Source</x:v>
      </x:c>
      <x:c r="B68" s="87" t="str">
        <x:v>User instruction; internal savings comparison style</x:v>
      </x:c>
      <x:c r="C68" s="88" t="str">
        <x:v>Imported</x:v>
      </x:c>
      <x:c r="D68" s="88" t="str">
        <x:v>2026-06-12</x:v>
      </x:c>
    </x:row>
    <x:row r="69" ht="51" customHeight="1">
      <x:c r="A69" s="49" t="str">
        <x:v>Review</x:v>
      </x:c>
      <x:c r="B69" s="87" t="str"/>
      <x:c r="C69" s="88" t="str">
        <x:v>Action</x:v>
      </x:c>
      <x:c r="D69" s="88" t="str">
        <x:v>Confirm tax/legal treatment, exact client facts, final pricing, and P&amp;L activation after client choice</x:v>
      </x:c>
    </x:row>
    <x:row r="70" ht="51" customHeight="1">
      <x:c r="A70" s="49" t="str">
        <x:v>Reference style</x:v>
      </x:c>
      <x:c r="B70" s="87" t="str"/>
      <x:c r="C70" s="88" t="str">
        <x:v>Style</x:v>
      </x:c>
      <x:c r="D70" s="88" t="str">
        <x:v>Dark green headers; compact comparison; grey output rows; light green savings highlight</x:v>
      </x:c>
    </x:row>
    <x:row r="71" ht="16.5" customHeight="1"/>
    <x:row r="72" ht="16.5" customHeight="1"/>
    <x:row r="73" ht="16.5" customHeight="1"/>
    <x:row r="74" ht="16.5" customHeight="1"/>
    <x:row r="75" ht="16.5" customHeight="1"/>
    <x:row r="76" ht="16.5" customHeight="1"/>
    <x:row r="77" ht="16.5" customHeight="1"/>
    <x:row r="78" ht="16.5" customHeight="1"/>
    <x:row r="79" ht="16.5" customHeight="1"/>
    <x:row r="80" ht="16.5" customHeight="1"/>
  </x:sheetData>
  <x:mergeCells>
    <x:mergeCell ref="A1:D1"/>
    <x:mergeCell ref="A2:D2"/>
    <x:mergeCell ref="A4:D4"/>
    <x:mergeCell ref="A14:D14"/>
    <x:mergeCell ref="A22:D22"/>
    <x:mergeCell ref="A28:D28"/>
    <x:mergeCell ref="A35:D35"/>
    <x:mergeCell ref="A41:D41"/>
    <x:mergeCell ref="A45:D45"/>
    <x:mergeCell ref="A49:D49"/>
    <x:mergeCell ref="A58:D58"/>
    <x:mergeCell ref="A66:D66"/>
  </x:mergeCells>
  <x:dataValidations count="3">
    <x:dataValidation type="list" sqref="B8">
      <x:formula1>"Client choice pending,Option 1 - Basic analysis,Option 2 - Full optimisation,Option 3 - Pension reserve,Option 4 - IE resident"</x:formula1>
    </x:dataValidation>
    <x:dataValidation type="list" sqref="B10">
      <x:formula1>"Yes,No"</x:formula1>
    </x:dataValidation>
    <x:dataValidation type="list" sqref="B11">
      <x:formula1>"DE,IE"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670000076293945" hidden="0" customWidth="1"/>
    <x:col min="2" max="2" width="10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</x:cols>
  <x:sheetData>
    <x:row r="1" ht="16.5" customHeight="1">
      <x:c r="A1" s="4" t="str">
        <x:v>P&amp;L add-on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31.5" customHeight="1">
      <x:c r="A2" s="8" t="str">
        <x:v>Use only after the client has chosen a scenario in Assumptions!B8. Until then, the tab remains inactive and should not be used as client-facing output.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</x:row>
    <x:row r="3" ht="16.5" customHeight="1">
      <x:c r="A3" s="44" t="str">
        <x:v>Selected scenario</x:v>
      </x:c>
      <x:c r="B3" s="44" t="str">
        <x:f>Assumptions!$B$8</x:f>
        <x:v>Client choice pending</x:v>
      </x:c>
    </x:row>
    <x:row r="4" ht="16.5" customHeight="1">
      <x:c r="A4" s="44" t="str">
        <x:v>Status</x:v>
      </x:c>
      <x:c r="B4" s="44" t="str">
        <x:f>IF(B3="Client choice pending","Inactive - choose scenario before P&amp;L work","Active")</x:f>
        <x:v>Inactive - choose scenario before P&amp;L work</x:v>
      </x:c>
    </x:row>
    <x:row r="5" ht="16.5" customHeight="1"/>
    <x:row r="6" ht="16.5" customHeight="1">
      <x:c r="A6" s="102" t="str">
        <x:v>Metric</x:v>
      </x:c>
      <x:c r="B6" s="102" t="str">
        <x:v>Total</x:v>
      </x:c>
      <x:c r="C6" s="102" t="str">
        <x:v>Jan</x:v>
      </x:c>
      <x:c r="D6" s="102" t="str">
        <x:v>Feb</x:v>
      </x:c>
      <x:c r="E6" s="102" t="str">
        <x:v>Mar</x:v>
      </x:c>
      <x:c r="F6" s="102" t="str">
        <x:v>Apr</x:v>
      </x:c>
      <x:c r="G6" s="102" t="str">
        <x:v>May</x:v>
      </x:c>
      <x:c r="H6" s="102" t="str">
        <x:v>Jun</x:v>
      </x:c>
      <x:c r="I6" s="102" t="str">
        <x:v>Jul</x:v>
      </x:c>
      <x:c r="J6" s="102" t="str">
        <x:v>Aug</x:v>
      </x:c>
      <x:c r="K6" s="102" t="str">
        <x:v>Sep</x:v>
      </x:c>
      <x:c r="L6" s="102" t="str">
        <x:v>Oct</x:v>
      </x:c>
      <x:c r="M6" s="102" t="str">
        <x:v>Nov</x:v>
      </x:c>
      <x:c r="N6" s="102" t="str">
        <x:v>Dec</x:v>
      </x:c>
    </x:row>
    <x:row r="7" ht="16.5" customHeight="1">
      <x:c r="A7" s="42"/>
      <x:c r="B7" s="42"/>
      <x:c r="C7" s="42"/>
      <x:c r="D7" s="42"/>
      <x:c r="E7" s="42"/>
      <x:c r="F7" s="42"/>
      <x:c r="G7" s="42"/>
      <x:c r="H7" s="42"/>
      <x:c r="I7" s="42"/>
      <x:c r="J7" s="42"/>
      <x:c r="K7" s="42"/>
      <x:c r="L7" s="42"/>
      <x:c r="M7" s="42"/>
      <x:c r="N7" s="42"/>
    </x:row>
    <x:row r="8" ht="16.5" customHeight="1">
      <x:c r="A8" s="103" t="str">
        <x:v>Revenue</x:v>
      </x:c>
      <x:c r="B8" s="104" t="str">
        <x:f>IF($B$3="Client choice pending","",SUM(C8:N8))</x:f>
      </x:c>
      <x:c r="C8" s="104" t="str">
        <x:f>IF($B$3="Client choice pending","",Assumptions!$B$23/12)</x:f>
      </x:c>
      <x:c r="D8" s="104" t="str">
        <x:f>IF($B$3="Client choice pending","",Assumptions!$B$23/12)</x:f>
      </x:c>
      <x:c r="E8" s="104" t="str">
        <x:f>IF($B$3="Client choice pending","",Assumptions!$B$23/12)</x:f>
      </x:c>
      <x:c r="F8" s="104" t="str">
        <x:f>IF($B$3="Client choice pending","",Assumptions!$B$23/12)</x:f>
      </x:c>
      <x:c r="G8" s="104" t="str">
        <x:f>IF($B$3="Client choice pending","",Assumptions!$B$23/12)</x:f>
      </x:c>
      <x:c r="H8" s="104" t="str">
        <x:f>IF($B$3="Client choice pending","",Assumptions!$B$23/12)</x:f>
      </x:c>
      <x:c r="I8" s="104" t="str">
        <x:f>IF($B$3="Client choice pending","",Assumptions!$B$23/12)</x:f>
      </x:c>
      <x:c r="J8" s="104" t="str">
        <x:f>IF($B$3="Client choice pending","",Assumptions!$B$23/12)</x:f>
      </x:c>
      <x:c r="K8" s="104" t="str">
        <x:f>IF($B$3="Client choice pending","",Assumptions!$B$23/12)</x:f>
      </x:c>
      <x:c r="L8" s="104" t="str">
        <x:f>IF($B$3="Client choice pending","",Assumptions!$B$23/12)</x:f>
      </x:c>
      <x:c r="M8" s="104" t="str">
        <x:f>IF($B$3="Client choice pending","",Assumptions!$B$23/12)</x:f>
      </x:c>
      <x:c r="N8" s="104" t="str">
        <x:f>IF($B$3="Client choice pending","",Assumptions!$B$23/12)</x:f>
      </x:c>
    </x:row>
    <x:row r="9" ht="16.5" customHeight="1">
      <x:c r="A9" s="42" t="str"/>
      <x:c r="B9" s="61"/>
      <x:c r="C9" s="61"/>
      <x:c r="D9" s="61"/>
      <x:c r="E9" s="61"/>
      <x:c r="F9" s="61"/>
      <x:c r="G9" s="61"/>
      <x:c r="H9" s="61"/>
      <x:c r="I9" s="61"/>
      <x:c r="J9" s="61"/>
      <x:c r="K9" s="61"/>
      <x:c r="L9" s="61"/>
      <x:c r="M9" s="61"/>
      <x:c r="N9" s="61"/>
    </x:row>
    <x:row r="10" ht="16.5" customHeight="1">
      <x:c r="A10" s="103" t="str">
        <x:v>Expenses</x:v>
      </x:c>
      <x:c r="B10" s="104"/>
      <x:c r="C10" s="104"/>
      <x:c r="D10" s="104"/>
      <x:c r="E10" s="104"/>
      <x:c r="F10" s="104"/>
      <x:c r="G10" s="104"/>
      <x:c r="H10" s="104"/>
      <x:c r="I10" s="104"/>
      <x:c r="J10" s="104"/>
      <x:c r="K10" s="104"/>
      <x:c r="L10" s="104"/>
      <x:c r="M10" s="104"/>
      <x:c r="N10" s="104"/>
    </x:row>
    <x:row r="11" ht="16.5" customHeight="1">
      <x:c r="A11" s="42" t="str">
        <x:v>Office rent</x:v>
      </x:c>
      <x:c r="B11" s="61" t="str">
        <x:f>IF($B$3="Client choice pending","",SUM(C11:N11))</x:f>
      </x:c>
      <x:c r="C11" s="61" t="str">
        <x:f>IF($B$3="Client choice pending","",-(INDEX('Savings comparison'!$C$19:$F$19,1,MATCH($B$3,'Savings comparison'!$C$4:$F$4,0)))/12)</x:f>
      </x:c>
      <x:c r="D11" s="61" t="str">
        <x:f>IF($B$3="Client choice pending","",-(INDEX('Savings comparison'!$C$19:$F$19,1,MATCH($B$3,'Savings comparison'!$C$4:$F$4,0)))/12)</x:f>
      </x:c>
      <x:c r="E11" s="61" t="str">
        <x:f>IF($B$3="Client choice pending","",-(INDEX('Savings comparison'!$C$19:$F$19,1,MATCH($B$3,'Savings comparison'!$C$4:$F$4,0)))/12)</x:f>
      </x:c>
      <x:c r="F11" s="61" t="str">
        <x:f>IF($B$3="Client choice pending","",-(INDEX('Savings comparison'!$C$19:$F$19,1,MATCH($B$3,'Savings comparison'!$C$4:$F$4,0)))/12)</x:f>
      </x:c>
      <x:c r="G11" s="61" t="str">
        <x:f>IF($B$3="Client choice pending","",-(INDEX('Savings comparison'!$C$19:$F$19,1,MATCH($B$3,'Savings comparison'!$C$4:$F$4,0)))/12)</x:f>
      </x:c>
      <x:c r="H11" s="61" t="str">
        <x:f>IF($B$3="Client choice pending","",-(INDEX('Savings comparison'!$C$19:$F$19,1,MATCH($B$3,'Savings comparison'!$C$4:$F$4,0)))/12)</x:f>
      </x:c>
      <x:c r="I11" s="61" t="str">
        <x:f>IF($B$3="Client choice pending","",-(INDEX('Savings comparison'!$C$19:$F$19,1,MATCH($B$3,'Savings comparison'!$C$4:$F$4,0)))/12)</x:f>
      </x:c>
      <x:c r="J11" s="61" t="str">
        <x:f>IF($B$3="Client choice pending","",-(INDEX('Savings comparison'!$C$19:$F$19,1,MATCH($B$3,'Savings comparison'!$C$4:$F$4,0)))/12)</x:f>
      </x:c>
      <x:c r="K11" s="61" t="str">
        <x:f>IF($B$3="Client choice pending","",-(INDEX('Savings comparison'!$C$19:$F$19,1,MATCH($B$3,'Savings comparison'!$C$4:$F$4,0)))/12)</x:f>
      </x:c>
      <x:c r="L11" s="61" t="str">
        <x:f>IF($B$3="Client choice pending","",-(INDEX('Savings comparison'!$C$19:$F$19,1,MATCH($B$3,'Savings comparison'!$C$4:$F$4,0)))/12)</x:f>
      </x:c>
      <x:c r="M11" s="61" t="str">
        <x:f>IF($B$3="Client choice pending","",-(INDEX('Savings comparison'!$C$19:$F$19,1,MATCH($B$3,'Savings comparison'!$C$4:$F$4,0)))/12)</x:f>
      </x:c>
      <x:c r="N11" s="61" t="str">
        <x:f>IF($B$3="Client choice pending","",-(INDEX('Savings comparison'!$C$19:$F$19,1,MATCH($B$3,'Savings comparison'!$C$4:$F$4,0)))/12)</x:f>
      </x:c>
    </x:row>
    <x:row r="12" ht="16.5" customHeight="1">
      <x:c r="A12" s="42" t="str">
        <x:v>Business travel / other</x:v>
      </x:c>
      <x:c r="B12" s="61" t="str">
        <x:f>IF($B$3="Client choice pending","",SUM(C12:N12))</x:f>
      </x:c>
      <x:c r="C12" s="61" t="str">
        <x:f>IF($B$3="Client choice pending","",-(INDEX('Savings comparison'!$C$20:$F$20,1,MATCH($B$3,'Savings comparison'!$C$4:$F$4,0)))/12)</x:f>
      </x:c>
      <x:c r="D12" s="61" t="str">
        <x:f>IF($B$3="Client choice pending","",-(INDEX('Savings comparison'!$C$20:$F$20,1,MATCH($B$3,'Savings comparison'!$C$4:$F$4,0)))/12)</x:f>
      </x:c>
      <x:c r="E12" s="61" t="str">
        <x:f>IF($B$3="Client choice pending","",-(INDEX('Savings comparison'!$C$20:$F$20,1,MATCH($B$3,'Savings comparison'!$C$4:$F$4,0)))/12)</x:f>
      </x:c>
      <x:c r="F12" s="61" t="str">
        <x:f>IF($B$3="Client choice pending","",-(INDEX('Savings comparison'!$C$20:$F$20,1,MATCH($B$3,'Savings comparison'!$C$4:$F$4,0)))/12)</x:f>
      </x:c>
      <x:c r="G12" s="61" t="str">
        <x:f>IF($B$3="Client choice pending","",-(INDEX('Savings comparison'!$C$20:$F$20,1,MATCH($B$3,'Savings comparison'!$C$4:$F$4,0)))/12)</x:f>
      </x:c>
      <x:c r="H12" s="61" t="str">
        <x:f>IF($B$3="Client choice pending","",-(INDEX('Savings comparison'!$C$20:$F$20,1,MATCH($B$3,'Savings comparison'!$C$4:$F$4,0)))/12)</x:f>
      </x:c>
      <x:c r="I12" s="61" t="str">
        <x:f>IF($B$3="Client choice pending","",-(INDEX('Savings comparison'!$C$20:$F$20,1,MATCH($B$3,'Savings comparison'!$C$4:$F$4,0)))/12)</x:f>
      </x:c>
      <x:c r="J12" s="61" t="str">
        <x:f>IF($B$3="Client choice pending","",-(INDEX('Savings comparison'!$C$20:$F$20,1,MATCH($B$3,'Savings comparison'!$C$4:$F$4,0)))/12)</x:f>
      </x:c>
      <x:c r="K12" s="61" t="str">
        <x:f>IF($B$3="Client choice pending","",-(INDEX('Savings comparison'!$C$20:$F$20,1,MATCH($B$3,'Savings comparison'!$C$4:$F$4,0)))/12)</x:f>
      </x:c>
      <x:c r="L12" s="61" t="str">
        <x:f>IF($B$3="Client choice pending","",-(INDEX('Savings comparison'!$C$20:$F$20,1,MATCH($B$3,'Savings comparison'!$C$4:$F$4,0)))/12)</x:f>
      </x:c>
      <x:c r="M12" s="61" t="str">
        <x:f>IF($B$3="Client choice pending","",-(INDEX('Savings comparison'!$C$20:$F$20,1,MATCH($B$3,'Savings comparison'!$C$4:$F$4,0)))/12)</x:f>
      </x:c>
      <x:c r="N12" s="61" t="str">
        <x:f>IF($B$3="Client choice pending","",-(INDEX('Savings comparison'!$C$20:$F$20,1,MATCH($B$3,'Savings comparison'!$C$4:$F$4,0)))/12)</x:f>
      </x:c>
    </x:row>
    <x:row r="13" ht="16.5" customHeight="1">
      <x:c r="A13" s="42" t="str">
        <x:v>Car depreciation</x:v>
      </x:c>
      <x:c r="B13" s="61" t="str">
        <x:f>IF($B$3="Client choice pending","",SUM(C13:N13))</x:f>
      </x:c>
      <x:c r="C13" s="61" t="str">
        <x:f>IF($B$3="Client choice pending","",-(INDEX('Savings comparison'!$C$22:$F$22,1,MATCH($B$3,'Savings comparison'!$C$4:$F$4,0)))/12)</x:f>
      </x:c>
      <x:c r="D13" s="61" t="str">
        <x:f>IF($B$3="Client choice pending","",-(INDEX('Savings comparison'!$C$22:$F$22,1,MATCH($B$3,'Savings comparison'!$C$4:$F$4,0)))/12)</x:f>
      </x:c>
      <x:c r="E13" s="61" t="str">
        <x:f>IF($B$3="Client choice pending","",-(INDEX('Savings comparison'!$C$22:$F$22,1,MATCH($B$3,'Savings comparison'!$C$4:$F$4,0)))/12)</x:f>
      </x:c>
      <x:c r="F13" s="61" t="str">
        <x:f>IF($B$3="Client choice pending","",-(INDEX('Savings comparison'!$C$22:$F$22,1,MATCH($B$3,'Savings comparison'!$C$4:$F$4,0)))/12)</x:f>
      </x:c>
      <x:c r="G13" s="61" t="str">
        <x:f>IF($B$3="Client choice pending","",-(INDEX('Savings comparison'!$C$22:$F$22,1,MATCH($B$3,'Savings comparison'!$C$4:$F$4,0)))/12)</x:f>
      </x:c>
      <x:c r="H13" s="61" t="str">
        <x:f>IF($B$3="Client choice pending","",-(INDEX('Savings comparison'!$C$22:$F$22,1,MATCH($B$3,'Savings comparison'!$C$4:$F$4,0)))/12)</x:f>
      </x:c>
      <x:c r="I13" s="61" t="str">
        <x:f>IF($B$3="Client choice pending","",-(INDEX('Savings comparison'!$C$22:$F$22,1,MATCH($B$3,'Savings comparison'!$C$4:$F$4,0)))/12)</x:f>
      </x:c>
      <x:c r="J13" s="61" t="str">
        <x:f>IF($B$3="Client choice pending","",-(INDEX('Savings comparison'!$C$22:$F$22,1,MATCH($B$3,'Savings comparison'!$C$4:$F$4,0)))/12)</x:f>
      </x:c>
      <x:c r="K13" s="61" t="str">
        <x:f>IF($B$3="Client choice pending","",-(INDEX('Savings comparison'!$C$22:$F$22,1,MATCH($B$3,'Savings comparison'!$C$4:$F$4,0)))/12)</x:f>
      </x:c>
      <x:c r="L13" s="61" t="str">
        <x:f>IF($B$3="Client choice pending","",-(INDEX('Savings comparison'!$C$22:$F$22,1,MATCH($B$3,'Savings comparison'!$C$4:$F$4,0)))/12)</x:f>
      </x:c>
      <x:c r="M13" s="61" t="str">
        <x:f>IF($B$3="Client choice pending","",-(INDEX('Savings comparison'!$C$22:$F$22,1,MATCH($B$3,'Savings comparison'!$C$4:$F$4,0)))/12)</x:f>
      </x:c>
      <x:c r="N13" s="61" t="str">
        <x:f>IF($B$3="Client choice pending","",-(INDEX('Savings comparison'!$C$22:$F$22,1,MATCH($B$3,'Savings comparison'!$C$4:$F$4,0)))/12)</x:f>
      </x:c>
    </x:row>
    <x:row r="14" ht="16.5" customHeight="1">
      <x:c r="A14" s="42" t="str">
        <x:v>Pension reserve</x:v>
      </x:c>
      <x:c r="B14" s="61" t="str">
        <x:f>IF($B$3="Client choice pending","",SUM(C14:N14))</x:f>
      </x:c>
      <x:c r="C14" s="61" t="str">
        <x:f>IF($B$3="Client choice pending","",-(INDEX('Savings comparison'!$C$23:$F$23,1,MATCH($B$3,'Savings comparison'!$C$4:$F$4,0)))/12)</x:f>
      </x:c>
      <x:c r="D14" s="61" t="str">
        <x:f>IF($B$3="Client choice pending","",-(INDEX('Savings comparison'!$C$23:$F$23,1,MATCH($B$3,'Savings comparison'!$C$4:$F$4,0)))/12)</x:f>
      </x:c>
      <x:c r="E14" s="61" t="str">
        <x:f>IF($B$3="Client choice pending","",-(INDEX('Savings comparison'!$C$23:$F$23,1,MATCH($B$3,'Savings comparison'!$C$4:$F$4,0)))/12)</x:f>
      </x:c>
      <x:c r="F14" s="61" t="str">
        <x:f>IF($B$3="Client choice pending","",-(INDEX('Savings comparison'!$C$23:$F$23,1,MATCH($B$3,'Savings comparison'!$C$4:$F$4,0)))/12)</x:f>
      </x:c>
      <x:c r="G14" s="61" t="str">
        <x:f>IF($B$3="Client choice pending","",-(INDEX('Savings comparison'!$C$23:$F$23,1,MATCH($B$3,'Savings comparison'!$C$4:$F$4,0)))/12)</x:f>
      </x:c>
      <x:c r="H14" s="61" t="str">
        <x:f>IF($B$3="Client choice pending","",-(INDEX('Savings comparison'!$C$23:$F$23,1,MATCH($B$3,'Savings comparison'!$C$4:$F$4,0)))/12)</x:f>
      </x:c>
      <x:c r="I14" s="61" t="str">
        <x:f>IF($B$3="Client choice pending","",-(INDEX('Savings comparison'!$C$23:$F$23,1,MATCH($B$3,'Savings comparison'!$C$4:$F$4,0)))/12)</x:f>
      </x:c>
      <x:c r="J14" s="61" t="str">
        <x:f>IF($B$3="Client choice pending","",-(INDEX('Savings comparison'!$C$23:$F$23,1,MATCH($B$3,'Savings comparison'!$C$4:$F$4,0)))/12)</x:f>
      </x:c>
      <x:c r="K14" s="61" t="str">
        <x:f>IF($B$3="Client choice pending","",-(INDEX('Savings comparison'!$C$23:$F$23,1,MATCH($B$3,'Savings comparison'!$C$4:$F$4,0)))/12)</x:f>
      </x:c>
      <x:c r="L14" s="61" t="str">
        <x:f>IF($B$3="Client choice pending","",-(INDEX('Savings comparison'!$C$23:$F$23,1,MATCH($B$3,'Savings comparison'!$C$4:$F$4,0)))/12)</x:f>
      </x:c>
      <x:c r="M14" s="61" t="str">
        <x:f>IF($B$3="Client choice pending","",-(INDEX('Savings comparison'!$C$23:$F$23,1,MATCH($B$3,'Savings comparison'!$C$4:$F$4,0)))/12)</x:f>
      </x:c>
      <x:c r="N14" s="61" t="str">
        <x:f>IF($B$3="Client choice pending","",-(INDEX('Savings comparison'!$C$23:$F$23,1,MATCH($B$3,'Savings comparison'!$C$4:$F$4,0)))/12)</x:f>
      </x:c>
    </x:row>
    <x:row r="15" ht="16.5" customHeight="1">
      <x:c r="A15" s="42" t="str">
        <x:v>Director fee</x:v>
      </x:c>
      <x:c r="B15" s="61" t="str">
        <x:f>IF($B$3="Client choice pending","",SUM(C15:N15))</x:f>
      </x:c>
      <x:c r="C15" s="61" t="str">
        <x:f>IF($B$3="Client choice pending","",-(INDEX('Savings comparison'!$C$24:$F$24,1,MATCH($B$3,'Savings comparison'!$C$4:$F$4,0)))/12)</x:f>
      </x:c>
      <x:c r="D15" s="61" t="str">
        <x:f>IF($B$3="Client choice pending","",-(INDEX('Savings comparison'!$C$24:$F$24,1,MATCH($B$3,'Savings comparison'!$C$4:$F$4,0)))/12)</x:f>
      </x:c>
      <x:c r="E15" s="61" t="str">
        <x:f>IF($B$3="Client choice pending","",-(INDEX('Savings comparison'!$C$24:$F$24,1,MATCH($B$3,'Savings comparison'!$C$4:$F$4,0)))/12)</x:f>
      </x:c>
      <x:c r="F15" s="61" t="str">
        <x:f>IF($B$3="Client choice pending","",-(INDEX('Savings comparison'!$C$24:$F$24,1,MATCH($B$3,'Savings comparison'!$C$4:$F$4,0)))/12)</x:f>
      </x:c>
      <x:c r="G15" s="61" t="str">
        <x:f>IF($B$3="Client choice pending","",-(INDEX('Savings comparison'!$C$24:$F$24,1,MATCH($B$3,'Savings comparison'!$C$4:$F$4,0)))/12)</x:f>
      </x:c>
      <x:c r="H15" s="61" t="str">
        <x:f>IF($B$3="Client choice pending","",-(INDEX('Savings comparison'!$C$24:$F$24,1,MATCH($B$3,'Savings comparison'!$C$4:$F$4,0)))/12)</x:f>
      </x:c>
      <x:c r="I15" s="61" t="str">
        <x:f>IF($B$3="Client choice pending","",-(INDEX('Savings comparison'!$C$24:$F$24,1,MATCH($B$3,'Savings comparison'!$C$4:$F$4,0)))/12)</x:f>
      </x:c>
      <x:c r="J15" s="61" t="str">
        <x:f>IF($B$3="Client choice pending","",-(INDEX('Savings comparison'!$C$24:$F$24,1,MATCH($B$3,'Savings comparison'!$C$4:$F$4,0)))/12)</x:f>
      </x:c>
      <x:c r="K15" s="61" t="str">
        <x:f>IF($B$3="Client choice pending","",-(INDEX('Savings comparison'!$C$24:$F$24,1,MATCH($B$3,'Savings comparison'!$C$4:$F$4,0)))/12)</x:f>
      </x:c>
      <x:c r="L15" s="61" t="str">
        <x:f>IF($B$3="Client choice pending","",-(INDEX('Savings comparison'!$C$24:$F$24,1,MATCH($B$3,'Savings comparison'!$C$4:$F$4,0)))/12)</x:f>
      </x:c>
      <x:c r="M15" s="61" t="str">
        <x:f>IF($B$3="Client choice pending","",-(INDEX('Savings comparison'!$C$24:$F$24,1,MATCH($B$3,'Savings comparison'!$C$4:$F$4,0)))/12)</x:f>
      </x:c>
      <x:c r="N15" s="61" t="str">
        <x:f>IF($B$3="Client choice pending","",-(INDEX('Savings comparison'!$C$24:$F$24,1,MATCH($B$3,'Savings comparison'!$C$4:$F$4,0)))/12)</x:f>
      </x:c>
    </x:row>
    <x:row r="16" ht="16.5" customHeight="1">
      <x:c r="A16" s="42" t="str">
        <x:v>RB fee</x:v>
      </x:c>
      <x:c r="B16" s="61" t="str">
        <x:f>IF($B$3="Client choice pending","",SUM(C16:N16))</x:f>
      </x:c>
      <x:c r="C16" s="61" t="str">
        <x:f>IF($B$3="Client choice pending","",-(INDEX('Savings comparison'!$C$15:$F$15,1,MATCH($B$3,'Savings comparison'!$C$4:$F$4,0))))</x:f>
      </x:c>
      <x:c r="D16" s="61" t="str">
        <x:f>IF($B$3="Client choice pending","",0)</x:f>
      </x:c>
      <x:c r="E16" s="61" t="str">
        <x:f>IF($B$3="Client choice pending","",0)</x:f>
      </x:c>
      <x:c r="F16" s="61" t="str">
        <x:f>IF($B$3="Client choice pending","",0)</x:f>
      </x:c>
      <x:c r="G16" s="61" t="str">
        <x:f>IF($B$3="Client choice pending","",0)</x:f>
      </x:c>
      <x:c r="H16" s="61" t="str">
        <x:f>IF($B$3="Client choice pending","",0)</x:f>
      </x:c>
      <x:c r="I16" s="61" t="str">
        <x:f>IF($B$3="Client choice pending","",0)</x:f>
      </x:c>
      <x:c r="J16" s="61" t="str">
        <x:f>IF($B$3="Client choice pending","",0)</x:f>
      </x:c>
      <x:c r="K16" s="61" t="str">
        <x:f>IF($B$3="Client choice pending","",0)</x:f>
      </x:c>
      <x:c r="L16" s="61" t="str">
        <x:f>IF($B$3="Client choice pending","",0)</x:f>
      </x:c>
      <x:c r="M16" s="61" t="str">
        <x:f>IF($B$3="Client choice pending","",0)</x:f>
      </x:c>
      <x:c r="N16" s="61" t="str">
        <x:f>IF($B$3="Client choice pending","",0)</x:f>
      </x:c>
    </x:row>
    <x:row r="17" ht="16.5" customHeight="1">
      <x:c r="A17" s="42" t="str"/>
      <x:c r="B17" s="61"/>
      <x:c r="C17" s="61"/>
      <x:c r="D17" s="61"/>
      <x:c r="E17" s="61"/>
      <x:c r="F17" s="61"/>
      <x:c r="G17" s="61"/>
      <x:c r="H17" s="61"/>
      <x:c r="I17" s="61"/>
      <x:c r="J17" s="61"/>
      <x:c r="K17" s="61"/>
      <x:c r="L17" s="61"/>
      <x:c r="M17" s="61"/>
      <x:c r="N17" s="61"/>
    </x:row>
    <x:row r="18" ht="16.5" customHeight="1">
      <x:c r="A18" s="44" t="str">
        <x:v>Total operating costs</x:v>
      </x:c>
      <x:c r="B18" s="63" t="str">
        <x:f>IF($B$3="Client choice pending","",SUM(C18:N18))</x:f>
      </x:c>
      <x:c r="C18" s="63" t="str">
        <x:f>IF($B$3="Client choice pending","",SUM(C11:C16))</x:f>
      </x:c>
      <x:c r="D18" s="63" t="str">
        <x:f>IF($B$3="Client choice pending","",SUM(D11:D16))</x:f>
      </x:c>
      <x:c r="E18" s="63" t="str">
        <x:f>IF($B$3="Client choice pending","",SUM(E11:E16))</x:f>
      </x:c>
      <x:c r="F18" s="63" t="str">
        <x:f>IF($B$3="Client choice pending","",SUM(F11:F16))</x:f>
      </x:c>
      <x:c r="G18" s="63" t="str">
        <x:f>IF($B$3="Client choice pending","",SUM(G11:G16))</x:f>
      </x:c>
      <x:c r="H18" s="63" t="str">
        <x:f>IF($B$3="Client choice pending","",SUM(H11:H16))</x:f>
      </x:c>
      <x:c r="I18" s="63" t="str">
        <x:f>IF($B$3="Client choice pending","",SUM(I11:I16))</x:f>
      </x:c>
      <x:c r="J18" s="63" t="str">
        <x:f>IF($B$3="Client choice pending","",SUM(J11:J16))</x:f>
      </x:c>
      <x:c r="K18" s="63" t="str">
        <x:f>IF($B$3="Client choice pending","",SUM(K11:K16))</x:f>
      </x:c>
      <x:c r="L18" s="63" t="str">
        <x:f>IF($B$3="Client choice pending","",SUM(L11:L16))</x:f>
      </x:c>
      <x:c r="M18" s="63" t="str">
        <x:f>IF($B$3="Client choice pending","",SUM(M11:M16))</x:f>
      </x:c>
      <x:c r="N18" s="63" t="str">
        <x:f>IF($B$3="Client choice pending","",SUM(N11:N16))</x:f>
      </x:c>
    </x:row>
    <x:row r="19" ht="16.5" customHeight="1">
      <x:c r="A19" s="44" t="str">
        <x:v>Profit before tax</x:v>
      </x:c>
      <x:c r="B19" s="63" t="str">
        <x:f>IF($B$3="Client choice pending","",SUM(C19:N19))</x:f>
      </x:c>
      <x:c r="C19" s="63" t="str">
        <x:f>IF($B$3="Client choice pending","",C8+C18)</x:f>
      </x:c>
      <x:c r="D19" s="63" t="str">
        <x:f>IF($B$3="Client choice pending","",D8+D18)</x:f>
      </x:c>
      <x:c r="E19" s="63" t="str">
        <x:f>IF($B$3="Client choice pending","",E8+E18)</x:f>
      </x:c>
      <x:c r="F19" s="63" t="str">
        <x:f>IF($B$3="Client choice pending","",F8+F18)</x:f>
      </x:c>
      <x:c r="G19" s="63" t="str">
        <x:f>IF($B$3="Client choice pending","",G8+G18)</x:f>
      </x:c>
      <x:c r="H19" s="63" t="str">
        <x:f>IF($B$3="Client choice pending","",H8+H18)</x:f>
      </x:c>
      <x:c r="I19" s="63" t="str">
        <x:f>IF($B$3="Client choice pending","",I8+I18)</x:f>
      </x:c>
      <x:c r="J19" s="63" t="str">
        <x:f>IF($B$3="Client choice pending","",J8+J18)</x:f>
      </x:c>
      <x:c r="K19" s="63" t="str">
        <x:f>IF($B$3="Client choice pending","",K8+K18)</x:f>
      </x:c>
      <x:c r="L19" s="63" t="str">
        <x:f>IF($B$3="Client choice pending","",L8+L18)</x:f>
      </x:c>
      <x:c r="M19" s="63" t="str">
        <x:f>IF($B$3="Client choice pending","",M8+M18)</x:f>
      </x:c>
      <x:c r="N19" s="63" t="str">
        <x:f>IF($B$3="Client choice pending","",N8+N18)</x:f>
      </x:c>
    </x:row>
    <x:row r="20" ht="16.5" customHeight="1">
      <x:c r="A20" s="44" t="str">
        <x:v>Corporation tax</x:v>
      </x:c>
      <x:c r="B20" s="63" t="str">
        <x:f>IF($B$3="Client choice pending","",SUM(C20:N20))</x:f>
      </x:c>
      <x:c r="C20" s="63" t="str">
        <x:f>IF($B$3="Client choice pending","",-MAX(0,C19*INDEX('Savings comparison'!$C$28:$F$28,1,MATCH($B$3,'Savings comparison'!$C$4:$F$4,0))))</x:f>
      </x:c>
      <x:c r="D20" s="63" t="str">
        <x:f>IF($B$3="Client choice pending","",-MAX(0,D19*INDEX('Savings comparison'!$C$28:$F$28,1,MATCH($B$3,'Savings comparison'!$C$4:$F$4,0))))</x:f>
      </x:c>
      <x:c r="E20" s="63" t="str">
        <x:f>IF($B$3="Client choice pending","",-MAX(0,E19*INDEX('Savings comparison'!$C$28:$F$28,1,MATCH($B$3,'Savings comparison'!$C$4:$F$4,0))))</x:f>
      </x:c>
      <x:c r="F20" s="63" t="str">
        <x:f>IF($B$3="Client choice pending","",-MAX(0,F19*INDEX('Savings comparison'!$C$28:$F$28,1,MATCH($B$3,'Savings comparison'!$C$4:$F$4,0))))</x:f>
      </x:c>
      <x:c r="G20" s="63" t="str">
        <x:f>IF($B$3="Client choice pending","",-MAX(0,G19*INDEX('Savings comparison'!$C$28:$F$28,1,MATCH($B$3,'Savings comparison'!$C$4:$F$4,0))))</x:f>
      </x:c>
      <x:c r="H20" s="63" t="str">
        <x:f>IF($B$3="Client choice pending","",-MAX(0,H19*INDEX('Savings comparison'!$C$28:$F$28,1,MATCH($B$3,'Savings comparison'!$C$4:$F$4,0))))</x:f>
      </x:c>
      <x:c r="I20" s="63" t="str">
        <x:f>IF($B$3="Client choice pending","",-MAX(0,I19*INDEX('Savings comparison'!$C$28:$F$28,1,MATCH($B$3,'Savings comparison'!$C$4:$F$4,0))))</x:f>
      </x:c>
      <x:c r="J20" s="63" t="str">
        <x:f>IF($B$3="Client choice pending","",-MAX(0,J19*INDEX('Savings comparison'!$C$28:$F$28,1,MATCH($B$3,'Savings comparison'!$C$4:$F$4,0))))</x:f>
      </x:c>
      <x:c r="K20" s="63" t="str">
        <x:f>IF($B$3="Client choice pending","",-MAX(0,K19*INDEX('Savings comparison'!$C$28:$F$28,1,MATCH($B$3,'Savings comparison'!$C$4:$F$4,0))))</x:f>
      </x:c>
      <x:c r="L20" s="63" t="str">
        <x:f>IF($B$3="Client choice pending","",-MAX(0,L19*INDEX('Savings comparison'!$C$28:$F$28,1,MATCH($B$3,'Savings comparison'!$C$4:$F$4,0))))</x:f>
      </x:c>
      <x:c r="M20" s="63" t="str">
        <x:f>IF($B$3="Client choice pending","",-MAX(0,M19*INDEX('Savings comparison'!$C$28:$F$28,1,MATCH($B$3,'Savings comparison'!$C$4:$F$4,0))))</x:f>
      </x:c>
      <x:c r="N20" s="63" t="str">
        <x:f>IF($B$3="Client choice pending","",-MAX(0,N19*INDEX('Savings comparison'!$C$28:$F$28,1,MATCH($B$3,'Savings comparison'!$C$4:$F$4,0))))</x:f>
      </x:c>
    </x:row>
    <x:row r="21" ht="16.5" customHeight="1">
      <x:c r="A21" s="44" t="str">
        <x:v>Profit after tax</x:v>
      </x:c>
      <x:c r="B21" s="63" t="str">
        <x:f>IF($B$3="Client choice pending","",SUM(C21:N21))</x:f>
      </x:c>
      <x:c r="C21" s="63" t="str">
        <x:f>IF($B$3="Client choice pending","",C19+C20)</x:f>
      </x:c>
      <x:c r="D21" s="63" t="str">
        <x:f>IF($B$3="Client choice pending","",D19+D20)</x:f>
      </x:c>
      <x:c r="E21" s="63" t="str">
        <x:f>IF($B$3="Client choice pending","",E19+E20)</x:f>
      </x:c>
      <x:c r="F21" s="63" t="str">
        <x:f>IF($B$3="Client choice pending","",F19+F20)</x:f>
      </x:c>
      <x:c r="G21" s="63" t="str">
        <x:f>IF($B$3="Client choice pending","",G19+G20)</x:f>
      </x:c>
      <x:c r="H21" s="63" t="str">
        <x:f>IF($B$3="Client choice pending","",H19+H20)</x:f>
      </x:c>
      <x:c r="I21" s="63" t="str">
        <x:f>IF($B$3="Client choice pending","",I19+I20)</x:f>
      </x:c>
      <x:c r="J21" s="63" t="str">
        <x:f>IF($B$3="Client choice pending","",J19+J20)</x:f>
      </x:c>
      <x:c r="K21" s="63" t="str">
        <x:f>IF($B$3="Client choice pending","",K19+K20)</x:f>
      </x:c>
      <x:c r="L21" s="63" t="str">
        <x:f>IF($B$3="Client choice pending","",L19+L20)</x:f>
      </x:c>
      <x:c r="M21" s="63" t="str">
        <x:f>IF($B$3="Client choice pending","",M19+M20)</x:f>
      </x:c>
      <x:c r="N21" s="63" t="str">
        <x:f>IF($B$3="Client choice pending","",N19+N20)</x:f>
      </x:c>
    </x:row>
    <x:row r="22" ht="16.5" customHeight="1">
      <x:c r="A22" s="44" t="str">
        <x:v>Cashflow after tax</x:v>
      </x:c>
      <x:c r="B22" s="63" t="str">
        <x:f>IF($B$3="Client choice pending","",SUM(C22:N22))</x:f>
      </x:c>
      <x:c r="C22" s="63" t="str">
        <x:f>IF($B$3="Client choice pending","",C21-C13)</x:f>
      </x:c>
      <x:c r="D22" s="63" t="str">
        <x:f>IF($B$3="Client choice pending","",D21-D13)</x:f>
      </x:c>
      <x:c r="E22" s="63" t="str">
        <x:f>IF($B$3="Client choice pending","",E21-E13)</x:f>
      </x:c>
      <x:c r="F22" s="63" t="str">
        <x:f>IF($B$3="Client choice pending","",F21-F13)</x:f>
      </x:c>
      <x:c r="G22" s="63" t="str">
        <x:f>IF($B$3="Client choice pending","",G21-G13)</x:f>
      </x:c>
      <x:c r="H22" s="63" t="str">
        <x:f>IF($B$3="Client choice pending","",H21-H13)</x:f>
      </x:c>
      <x:c r="I22" s="63" t="str">
        <x:f>IF($B$3="Client choice pending","",I21-I13)</x:f>
      </x:c>
      <x:c r="J22" s="63" t="str">
        <x:f>IF($B$3="Client choice pending","",J21-J13)</x:f>
      </x:c>
      <x:c r="K22" s="63" t="str">
        <x:f>IF($B$3="Client choice pending","",K21-K13)</x:f>
      </x:c>
      <x:c r="L22" s="63" t="str">
        <x:f>IF($B$3="Client choice pending","",L21-L13)</x:f>
      </x:c>
      <x:c r="M22" s="63" t="str">
        <x:f>IF($B$3="Client choice pending","",M21-M13)</x:f>
      </x:c>
      <x:c r="N22" s="63" t="str">
        <x:f>IF($B$3="Client choice pending","",N21-N13)</x:f>
      </x:c>
    </x:row>
    <x:row r="23" ht="16.5" customHeight="1">
      <x:c r="A23" s="44" t="str">
        <x:v>Closing cash</x:v>
      </x:c>
      <x:c r="B23" s="63" t="str">
        <x:f>IF($B$3="Client choice pending","",N23)</x:f>
      </x:c>
      <x:c r="C23" s="63" t="str">
        <x:f>IF($B$3="Client choice pending","",C22)</x:f>
      </x:c>
      <x:c r="D23" s="63" t="str">
        <x:f>IF($B$3="Client choice pending","",C23+D22)</x:f>
      </x:c>
      <x:c r="E23" s="63" t="str">
        <x:f>IF($B$3="Client choice pending","",D23+E22)</x:f>
      </x:c>
      <x:c r="F23" s="63" t="str">
        <x:f>IF($B$3="Client choice pending","",E23+F22)</x:f>
      </x:c>
      <x:c r="G23" s="63" t="str">
        <x:f>IF($B$3="Client choice pending","",F23+G22)</x:f>
      </x:c>
      <x:c r="H23" s="63" t="str">
        <x:f>IF($B$3="Client choice pending","",G23+H22)</x:f>
      </x:c>
      <x:c r="I23" s="63" t="str">
        <x:f>IF($B$3="Client choice pending","",H23+I22)</x:f>
      </x:c>
      <x:c r="J23" s="63" t="str">
        <x:f>IF($B$3="Client choice pending","",I23+J22)</x:f>
      </x:c>
      <x:c r="K23" s="63" t="str">
        <x:f>IF($B$3="Client choice pending","",J23+K22)</x:f>
      </x:c>
      <x:c r="L23" s="63" t="str">
        <x:f>IF($B$3="Client choice pending","",K23+L22)</x:f>
      </x:c>
      <x:c r="M23" s="63" t="str">
        <x:f>IF($B$3="Client choice pending","",L23+M22)</x:f>
      </x:c>
      <x:c r="N23" s="63" t="str">
        <x:f>IF($B$3="Client choice pending","",M23+N22)</x:f>
      </x:c>
    </x:row>
    <x:row r="24" ht="16.5" customHeight="1"/>
    <x:row r="25" ht="16.5" customHeight="1"/>
    <x:row r="26" ht="16.5" customHeight="1"/>
    <x:row r="27" ht="16.5" customHeight="1"/>
    <x:row r="28" ht="16.5" customHeight="1"/>
    <x:row r="29" ht="16.5" customHeight="1"/>
    <x:row r="30" ht="16.5" customHeight="1"/>
    <x:row r="31" ht="16.5" customHeight="1"/>
    <x:row r="32" ht="16.5" customHeight="1"/>
    <x:row r="33" ht="16.5" customHeight="1"/>
    <x:row r="34" ht="16.5" customHeight="1"/>
    <x:row r="35" ht="16.5" customHeight="1"/>
    <x:row r="36" ht="16.5" customHeight="1"/>
    <x:row r="37" ht="16.5" customHeight="1"/>
    <x:row r="38" ht="16.5" customHeight="1"/>
    <x:row r="39" ht="16.5" customHeight="1"/>
    <x:row r="40" ht="16.5" customHeight="1"/>
  </x:sheetData>
  <x:mergeCells>
    <x:mergeCell ref="A1:N1"/>
    <x:mergeCell ref="A2:N2"/>
  </x:mergeCells>
  <x:pageMargins left="0.7" right="0.7" top="0.75" bottom="0.75" header="0.3" footer="0.3"/>
</x:worksheet>
</file>