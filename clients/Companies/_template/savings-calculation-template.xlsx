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vings comparison" sheetId="1" r:id="rId5"/>
    <sheet state="visible" name="Assumptions" sheetId="2" r:id="rId6"/>
    <sheet state="visible" name="P&amp;L - add-on" sheetId="3" r:id="rId7"/>
    <sheet state="visible" name="Services checklist" sheetId="4" r:id="rId8"/>
  </sheets>
  <definedNames>
    <definedName hidden="1" localSheetId="3" name="_xlnm._FilterDatabase">'Services checklist'!$A$7:$K$39</definedName>
  </definedNames>
  <calcPr/>
</workbook>
</file>

<file path=xl/sharedStrings.xml><?xml version="1.0" encoding="utf-8"?>
<sst xmlns="http://schemas.openxmlformats.org/spreadsheetml/2006/main" count="442" uniqueCount="331">
  <si>
    <t>Savings Calculation Template</t>
  </si>
  <si>
    <t>Client-facing template comparing the current position with RB service options. P&amp;L tab remains an add-on after the client chooses an option.</t>
  </si>
  <si>
    <t>Metric</t>
  </si>
  <si>
    <t>Before analysis</t>
  </si>
  <si>
    <t>Option 1 - Basic operating entity</t>
  </si>
  <si>
    <t>Option 2 - Full optimisation</t>
  </si>
  <si>
    <t>Option 3 - Pension reserve</t>
  </si>
  <si>
    <t>Option 4 - IE tax residence</t>
  </si>
  <si>
    <t>Service scope</t>
  </si>
  <si>
    <t>Current position</t>
  </si>
  <si>
    <t>Basic operating entity; no optimisation</t>
  </si>
  <si>
    <t>Full optimisation excl. pension reserve</t>
  </si>
  <si>
    <t>Full optimisation + pension reserve</t>
  </si>
  <si>
    <t>IE tax residence + director support</t>
  </si>
  <si>
    <t>Tax residence</t>
  </si>
  <si>
    <t>DE</t>
  </si>
  <si>
    <t>IE</t>
  </si>
  <si>
    <t>Optimises office rent</t>
  </si>
  <si>
    <t>No</t>
  </si>
  <si>
    <t>Yes</t>
  </si>
  <si>
    <t>Optimises business travel / other expenses</t>
  </si>
  <si>
    <t>Car depreciation support</t>
  </si>
  <si>
    <t>Investment planning support</t>
  </si>
  <si>
    <t>Pension reserve included</t>
  </si>
  <si>
    <t>Director fee required</t>
  </si>
  <si>
    <t>Previous accounting fee</t>
  </si>
  <si>
    <t>RB Accounting, Legal, Structuring</t>
  </si>
  <si>
    <t>Employee surcharge</t>
  </si>
  <si>
    <t>Pension surcharge</t>
  </si>
  <si>
    <t>Dual tax jurisdiction surcharge</t>
  </si>
  <si>
    <t>Director surcharge (discounted)</t>
  </si>
  <si>
    <t>Total RB fee</t>
  </si>
  <si>
    <t>Company model</t>
  </si>
  <si>
    <t>Estimated status quo profit</t>
  </si>
  <si>
    <t>Office rent deductible</t>
  </si>
  <si>
    <t>Business travel / other deductible</t>
  </si>
  <si>
    <t>Other investment planning benefit</t>
  </si>
  <si>
    <t>Annual car depreciation deductible</t>
  </si>
  <si>
    <t>Pension reserve contribution</t>
  </si>
  <si>
    <t>IE director fee deductible</t>
  </si>
  <si>
    <t>RB fee deductible</t>
  </si>
  <si>
    <t>Total additional deductions</t>
  </si>
  <si>
    <t>Estimated taxable profit after scenario</t>
  </si>
  <si>
    <t>Corporation tax rate</t>
  </si>
  <si>
    <t>Corporation tax payable</t>
  </si>
  <si>
    <t>Corporation tax saved vs before</t>
  </si>
  <si>
    <t>Personal / owner value</t>
  </si>
  <si>
    <t>Office rent net owner benefit</t>
  </si>
  <si>
    <t>Travel / other costs shifted from personal</t>
  </si>
  <si>
    <t>Investment planning benefit</t>
  </si>
  <si>
    <t>Pension reserve value</t>
  </si>
  <si>
    <t>Director fee net owner benefit</t>
  </si>
  <si>
    <t>Outcome</t>
  </si>
  <si>
    <t>Incremental value before RB fee</t>
  </si>
  <si>
    <t>Avoided previous accounting fee</t>
  </si>
  <si>
    <t>Net savings after RB fee</t>
  </si>
  <si>
    <t>Net savings multiple of fee</t>
  </si>
  <si>
    <t>Review note</t>
  </si>
  <si>
    <t>Baseline only</t>
  </si>
  <si>
    <t>Basic operating entity only</t>
  </si>
  <si>
    <t>Full optimisation, pension reserve excluded</t>
  </si>
  <si>
    <t>Pension surcharge shown separately</t>
  </si>
  <si>
    <t>IE tax residence, dual jurisdiction and director split</t>
  </si>
  <si>
    <t>Model checks</t>
  </si>
  <si>
    <t>Taxable profit not negative?</t>
  </si>
  <si>
    <t>Net savings positive?</t>
  </si>
  <si>
    <t>Baseline</t>
  </si>
  <si>
    <t>Fee rule status</t>
  </si>
  <si>
    <t>Basic operating entity fee fixed at 500</t>
  </si>
  <si>
    <t>Base plus employee surcharge if over threshold</t>
  </si>
  <si>
    <t>Base plus pension surcharge and employee surcharge if over threshold</t>
  </si>
  <si>
    <t>Base plus dual tax jurisdiction and discounted director surcharge</t>
  </si>
  <si>
    <t>Assumptions</t>
  </si>
  <si>
    <t>Status: provisional. Source: user instruction, RB internal service lists, and public DE pricing references imported 2026-06-12. Review before client reliance.</t>
  </si>
  <si>
    <t>Input</t>
  </si>
  <si>
    <t>Value</t>
  </si>
  <si>
    <t>Unit</t>
  </si>
  <si>
    <t>Notes</t>
  </si>
  <si>
    <t>Client / company name</t>
  </si>
  <si>
    <t>text</t>
  </si>
  <si>
    <t>Client-facing display name</t>
  </si>
  <si>
    <t>Prepared for</t>
  </si>
  <si>
    <t>Contact or stakeholder</t>
  </si>
  <si>
    <t>Selected scenario</t>
  </si>
  <si>
    <t>Client choice pending</t>
  </si>
  <si>
    <t>choice</t>
  </si>
  <si>
    <t>P&amp;L add-on stays pending until a client choice is made</t>
  </si>
  <si>
    <t>Total employees</t>
  </si>
  <si>
    <t>count</t>
  </si>
  <si>
    <t>Employee surcharge applies above the threshold below</t>
  </si>
  <si>
    <t>Employee notes</t>
  </si>
  <si>
    <t>Use for part-time or payroll complexity notes</t>
  </si>
  <si>
    <t>Current tax residence</t>
  </si>
  <si>
    <t>Option 4 models IE tax residence</t>
  </si>
  <si>
    <t>Tax rates</t>
  </si>
  <si>
    <t>Tax rate note</t>
  </si>
  <si>
    <t>Replace rates with client-specific values</t>
  </si>
  <si>
    <t>Planning rates only</t>
  </si>
  <si>
    <t>DE corporation tax rate</t>
  </si>
  <si>
    <t>% incl. trade tax</t>
  </si>
  <si>
    <t>Planning assumption; replace with client-specific rate</t>
  </si>
  <si>
    <t>IE corporation tax rate</t>
  </si>
  <si>
    <t>%</t>
  </si>
  <si>
    <t>Trading-rate planning assumption; confirm applicability</t>
  </si>
  <si>
    <t>Owner marginal personal tax rate</t>
  </si>
  <si>
    <t>Review-only rate used for net owner benefit estimates; not a client data input</t>
  </si>
  <si>
    <t>Operating model</t>
  </si>
  <si>
    <t>Operating model note</t>
  </si>
  <si>
    <t>Status quo estimated from earnings and spend</t>
  </si>
  <si>
    <t>Future gross-net calculator workflow can use https://www.brutto-netto-rechner.info/gehalt/gehaltsrechner-arbeitgeber.php</t>
  </si>
  <si>
    <t>Annual revenue</t>
  </si>
  <si>
    <t>EUR</t>
  </si>
  <si>
    <t>Before optimisation</t>
  </si>
  <si>
    <t>Current operating costs before owner planning</t>
  </si>
  <si>
    <t>Exclude RB fee and optimisation items below</t>
  </si>
  <si>
    <t>Baseline profit already includes current accounting fee?</t>
  </si>
  <si>
    <t>Set previous accounting fee below to 0 if already embedded and not replaced</t>
  </si>
  <si>
    <t>Estimated status quo profit (calculated)</t>
  </si>
  <si>
    <t>Calculated from annual revenue minus current operating costs; not a client input</t>
  </si>
  <si>
    <t>Office rent and expense optimisation</t>
  </si>
  <si>
    <t>Office rent note</t>
  </si>
  <si>
    <t>Use conservative eligible amounts</t>
  </si>
  <si>
    <t>Company-paid office rent or home-office arrangement</t>
  </si>
  <si>
    <t>Annual office rent company can rent to owner</t>
  </si>
  <si>
    <t>Eligible office rent deductible</t>
  </si>
  <si>
    <t>Used in comparison tab</t>
  </si>
  <si>
    <t>Taxable share of company-paid office rent</t>
  </si>
  <si>
    <t>Use 0 if tax-free and 1 if fully taxable to the owner; review case by case</t>
  </si>
  <si>
    <t>Business travel deductible</t>
  </si>
  <si>
    <t>Business travel moved into company</t>
  </si>
  <si>
    <t>Other eligible business expenses deductible</t>
  </si>
  <si>
    <t>Software, training, conferences, equipment, etc.</t>
  </si>
  <si>
    <t>Car purchase / depreciation</t>
  </si>
  <si>
    <t>Car purchase price</t>
  </si>
  <si>
    <t>Gross planning amount</t>
  </si>
  <si>
    <t>Useful life years</t>
  </si>
  <si>
    <t>years</t>
  </si>
  <si>
    <t>Replace with client-specific depreciation method</t>
  </si>
  <si>
    <t>Business-use share</t>
  </si>
  <si>
    <t>Planning share</t>
  </si>
  <si>
    <t>Annual depreciation before business-use share</t>
  </si>
  <si>
    <t>Straight-line placeholder</t>
  </si>
  <si>
    <t>Eligible annual car depreciation</t>
  </si>
  <si>
    <t>Investment and pension reserve</t>
  </si>
  <si>
    <t>Retained-profit or investment planning value</t>
  </si>
  <si>
    <t>Only included in Option 3</t>
  </si>
  <si>
    <t>IE tax residence / director</t>
  </si>
  <si>
    <t>Annual director fee deductible</t>
  </si>
  <si>
    <t>Only included in Option 4</t>
  </si>
  <si>
    <t>Estimated tax on director fee</t>
  </si>
  <si>
    <t>Applied to director fee only to estimate after-tax owner benefit; review case by case</t>
  </si>
  <si>
    <t>Current annual accounting, legal, or advisory fee that RB replaces</t>
  </si>
  <si>
    <t>Option 1 Basic operating entity fee</t>
  </si>
  <si>
    <t>No office rent, travel, investment, car, or pension optimisation</t>
  </si>
  <si>
    <t>RB Accounting, Legal, Structuring base fee</t>
  </si>
  <si>
    <t>Base fee for Options 2-4 before surcharges</t>
  </si>
  <si>
    <t>Employee surcharge threshold</t>
  </si>
  <si>
    <t>employees</t>
  </si>
  <si>
    <t>Total employees above this threshold trigger surcharge</t>
  </si>
  <si>
    <t>Employee surcharge if over threshold</t>
  </si>
  <si>
    <t>Applies to optimisation options when employee count exceeds threshold</t>
  </si>
  <si>
    <t>Shown as separate line in Option 3</t>
  </si>
  <si>
    <t>Shown as separate line in Option 4</t>
  </si>
  <si>
    <t>Director surcharge discounted</t>
  </si>
  <si>
    <t>Discounted director support surcharge in Option 4</t>
  </si>
  <si>
    <t>Fee definitions</t>
  </si>
  <si>
    <t>Current position before RB analysis</t>
  </si>
  <si>
    <t>Basic operating entity, no optimisation and no investments/car depreciation support</t>
  </si>
  <si>
    <t>1000 plus employee surcharge</t>
  </si>
  <si>
    <t>Office rent, business travel, eligible expenses, car depreciation, and investment planning; pension reserve excluded</t>
  </si>
  <si>
    <t>1000 plus pension surcharge plus employee surcharge if applicable</t>
  </si>
  <si>
    <t>Option 2 scope plus pension reserve planning</t>
  </si>
  <si>
    <t>1000 plus dual tax jurisdiction and discounted director surcharge plus employee surcharge if applicable</t>
  </si>
  <si>
    <t>Option 2 scope for an IE tax resident company; director fee required</t>
  </si>
  <si>
    <t>P&amp;L - add-on</t>
  </si>
  <si>
    <t>Use this tab only after the client has chosen an option. It is a monthly planning view, not a replacement for the savings comparison.</t>
  </si>
  <si>
    <t>Selected option</t>
  </si>
  <si>
    <t>Annual net savings after fee</t>
  </si>
  <si>
    <t>Line item</t>
  </si>
  <si>
    <t>Annual / source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</si>
  <si>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</si>
  <si>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</si>
  <si>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</si>
  <si>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</si>
  <si>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</si>
  <si>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</si>
  <si>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</si>
  <si>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</si>
  <si>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</si>
  <si>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</si>
  <si>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</si>
  <si>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</si>
  <si>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Revenue</t>
  </si>
  <si>
    <t>Assumptions!B21</t>
  </si>
  <si>
    <t>Existing operating costs</t>
  </si>
  <si>
    <t>Assumptions!B22</t>
  </si>
  <si>
    <t>Previous accounting fee avoided</t>
  </si>
  <si>
    <t>Assumptions!B49</t>
  </si>
  <si>
    <t>Office rent paid by company</t>
  </si>
  <si>
    <t>Business travel / other expenses</t>
  </si>
  <si>
    <t>Car depreciation</t>
  </si>
  <si>
    <t>Director fee</t>
  </si>
  <si>
    <t>RB fee</t>
  </si>
  <si>
    <t>Scenario profit before tax</t>
  </si>
  <si>
    <t>Calculated</t>
  </si>
  <si>
    <t>Estimated corporation tax</t>
  </si>
  <si>
    <t>Selected rate</t>
  </si>
  <si>
    <t>Profit after tax</t>
  </si>
  <si>
    <t>Keep this add-on hidden from the client conversation until an option has been selected.</t>
  </si>
  <si>
    <t>Services checklist</t>
  </si>
  <si>
    <t>RB option fee</t>
  </si>
  <si>
    <t>Standalone DE market value checked - low</t>
  </si>
  <si>
    <t>Standalone DE market value checked - mid</t>
  </si>
  <si>
    <t>Status: provisional. Source: RB service-list work, user corrections, and public pricing/statutory references checked 2026-06-15. Low/mid estimates include advisory support plus third-party software, filing, and public-authority costs where relevant; review before client reliance.</t>
  </si>
  <si>
    <t>Service</t>
  </si>
  <si>
    <t>Low-end DE estimate</t>
  </si>
  <si>
    <t>Mid-end DE estimate</t>
  </si>
  <si>
    <t>Timing</t>
  </si>
  <si>
    <t>Basis / cost components</t>
  </si>
  <si>
    <t>Linked explanation</t>
  </si>
  <si>
    <t>RB / client discussion point</t>
  </si>
  <si>
    <t>Basic operating entity review</t>
  </si>
  <si>
    <t>One-off</t>
  </si>
  <si>
    <t>Initial entity and accounting review; low uses public tax-advice plus basic support, mid includes deeper bookkeeping/accounting scoping</t>
  </si>
  <si>
    <t>Confirm entity status quo, previous accounting fee, current accountant, and whether the entity is already operational</t>
  </si>
  <si>
    <t>Company incorporation and compliance approval</t>
  </si>
  <si>
    <t>One-off incorporation/compliance support estimate; public documents/legal review plus accounting setup oversight</t>
  </si>
  <si>
    <t>Review whether a new company or operating entity approval is needed before using the template</t>
  </si>
  <si>
    <t>Client records, document intake and onboarding handover</t>
  </si>
  <si>
    <t>One-off intake estimate for source documents, records, opening balances, access, and handover into recurring operations</t>
  </si>
  <si>
    <t>Collect contracts, prior filings, bank records, payroll records, authority letters, and current fee data</t>
  </si>
  <si>
    <t>Monthly bookkeeping/accounting package</t>
  </si>
  <si>
    <t>Annual</t>
  </si>
  <si>
    <t>Recurring accounting package; low uses 99/month plus DATEV 15/month, mid uses 169/month plus DATEV 15/month</t>
  </si>
  <si>
    <t>Bookkeeping is a recurring operating service, not a one-off advisory line</t>
  </si>
  <si>
    <t>Bookkeeping software setup and filing calendar setup</t>
  </si>
  <si>
    <t>One-off setup</t>
  </si>
  <si>
    <t>Software setup, chart of accounts, filing calendar, access permissions, and recurring tool configuration; excludes monthly bookkeeping above</t>
  </si>
  <si>
    <t>Make the operating calendar and software stack explicit before the client chooses the option</t>
  </si>
  <si>
    <t>VAT compliance / VAT filings</t>
  </si>
  <si>
    <t>Recurring VAT filing support plus filing-software/transmission setup where needed; low assumes lighter filing volume, mid assumes monthly complexity</t>
  </si>
  <si>
    <t>Track VAT deadlines, prepare filings, submit returns, and retain filing/payment evidence</t>
  </si>
  <si>
    <t>Annual accounts and corporate tax filings</t>
  </si>
  <si>
    <t>Annual accounts plus disclosure/filing; low uses 1249 plus 99 disclosure, mid uses 1949 plus 99 disclosure</t>
  </si>
  <si>
    <t>Annual compliance is separate from monthly bookkeeping and should stay visible in the service comparison</t>
  </si>
  <si>
    <t>Payroll for one employee</t>
  </si>
  <si>
    <t>Recurring payroll plus payroll-software/filing component; low uses payroll service benchmark, mid adds Lexware payroll add-on at 12.90/month</t>
  </si>
  <si>
    <t>Run payroll, social-insurance and wage-tax filings, payments, and evidence capture for the employee</t>
  </si>
  <si>
    <t>Payroll setup, retroactive payslips and filings</t>
  </si>
  <si>
    <t>One-off / catch-up</t>
  </si>
  <si>
    <t>Setup or correction project for payroll history, retroactive payslips, registrations, filings and payment reconciliation</t>
  </si>
  <si>
    <t>Use when payroll history or late setup needs correction before monthly operation is clean</t>
  </si>
  <si>
    <t>Office rent / company-address optimisation</t>
  </si>
  <si>
    <t>Annual recurring</t>
  </si>
  <si>
    <t>Advisory plus benchmark analysis, company/person rent contract, and recurring monthly rent payment administration</t>
  </si>
  <si>
    <t>Advise, benchmark the office rent, prepare the contract, and pay the rent every month as agreed</t>
  </si>
  <si>
    <t>Business travel and expense policy optimisation</t>
  </si>
  <si>
    <t>Recurring travel policy, per diem calculation, receipt review, reimbursement calculation, company payment, and evidence tracking</t>
  </si>
  <si>
    <t>Help the client organise correctly, calculate per diem amounts, track expenses, and reimburse from the company</t>
  </si>
  <si>
    <t>AP/AR (invoice generation, expense payment, chasing, logging)</t>
  </si>
  <si>
    <t>Recurring invoice generation, expense payment, chasing, logging and evidence matching; includes bookkeeping/payment software component</t>
  </si>
  <si>
    <t>Operate invoices, supplier payments, client chasing and evidence logs instead of only advising once</t>
  </si>
  <si>
    <t>Tax prepayments and tax payments tracking</t>
  </si>
  <si>
    <t>Recurring tracking of tax prepayment notices, payment due dates, cash planning, executing payments, and storing payment evidence</t>
  </si>
  <si>
    <t>Actively track and pay tax prepayments; this is ongoing company-order work, not a one-off log</t>
  </si>
  <si>
    <t>Tax registration, letters and Finanzamt correspondence</t>
  </si>
  <si>
    <t>Recurring registration management plus active reading, classification and actioning of tax letters, deadlines, objections and notices</t>
  </si>
  <si>
    <t>Read tax letters, respond where needed, and keep the company in order before penalties arise</t>
  </si>
  <si>
    <t>Authority, health insurer and penalty/fine resolution</t>
  </si>
  <si>
    <t>Case-based</t>
  </si>
  <si>
    <t>Active case management: calls, letters, objections, escalation and chasing with Finanzamt, health insurers, payroll/social bodies and fine issuers</t>
  </si>
  <si>
    <t>Call Finanzamt and health insurers, fight fines, and keep issue ownership until resolved</t>
  </si>
  <si>
    <t>Car purchase / depreciation planning</t>
  </si>
  <si>
    <t>One-off planning</t>
  </si>
  <si>
    <t>Vehicle purchase, depreciation, benefit-in-kind and accounting treatment analysis; support estimate only, no vehicle cost included</t>
  </si>
  <si>
    <t>Analyse car purchase and depreciation treatment before committing to the company purchase</t>
  </si>
  <si>
    <t>Investment / retained-profit planning</t>
  </si>
  <si>
    <t>Retained-profit investment planning and accounting/tax treatment review; advisory support estimate, not investment-management fees</t>
  </si>
  <si>
    <t>Help decide whether retained profits should be invested or held for taxes, salary and reserve planning</t>
  </si>
  <si>
    <t>Investment account setup</t>
  </si>
  <si>
    <t>Administrative setup estimate for investment account documents, evidence, accounting treatment and source-record workflow</t>
  </si>
  <si>
    <t>Set up the investment-account records correctly if the client decides to invest retained profits</t>
  </si>
  <si>
    <t>Pension reserve planning</t>
  </si>
  <si>
    <t>Additional pension reserve analysis and documentation; reflected as the separate RB pension surcharge line in option 3</t>
  </si>
  <si>
    <t>Only included when the client chooses the pension reserve add-on</t>
  </si>
  <si>
    <t>Dual tax jurisdiction / IE-DE tax residence review</t>
  </si>
  <si>
    <t>One-off review</t>
  </si>
  <si>
    <t>Cross-border tax-residence review and dual-jurisdiction coordination estimate; excludes actual director service below</t>
  </si>
  <si>
    <t>Use for IE tax residence structures, not because a person is IE resident</t>
  </si>
  <si>
    <t>Director fee planning / director-service structuring and board governance</t>
  </si>
  <si>
    <t>Recurring actual director service plus board governance, board meetings, minutes, statutory decisions and keeping the company in order</t>
  </si>
  <si>
    <t>This is an actual director required to operate governance and board meetings, not just fee advice</t>
  </si>
  <si>
    <t>Employer number, accident insurance and VBG registrations</t>
  </si>
  <si>
    <t>Employer-number and statutory employer registration support, accident-insurance/VBG routing, and recurring records handover into payroll</t>
  </si>
  <si>
    <t>Handle employer registrations and keep the payroll compliance file current</t>
  </si>
  <si>
    <t>Local business registration (Gewerbeanmeldung)</t>
  </si>
  <si>
    <t>Public fee plus support estimate; Berlin reference shows 31 legal-person filing fee, added to 250/500 support estimate</t>
  </si>
  <si>
    <t>Handle local business registration where required and keep registration evidence in the file</t>
  </si>
  <si>
    <t>Bank account setup</t>
  </si>
  <si>
    <t>Administrative setup estimate for bank account opening, access, evidence, mandate and accounting workflow; bank fees not included</t>
  </si>
  <si>
    <t>Support bank-account setup and capture records for accounting and payments</t>
  </si>
  <si>
    <t>Service agreement contracts with client customers</t>
  </si>
  <si>
    <t>One-off / contract</t>
  </si>
  <si>
    <t>Contract preparation/review support estimate for customer service agreements and accounting/legal alignment</t>
  </si>
  <si>
    <t>Prepare or review service agreements between the company and its customers</t>
  </si>
  <si>
    <t>Employment contract changes</t>
  </si>
  <si>
    <t>One-off / change</t>
  </si>
  <si>
    <t>Employment/director contract change support plus payroll/accounting alignment and recurring payroll handover</t>
  </si>
  <si>
    <t>Change employment or director contracts and align payroll/accounting treatment</t>
  </si>
  <si>
    <t>Share subscription agreements</t>
  </si>
  <si>
    <t>One-off / document</t>
  </si>
  <si>
    <t>Share subscription agreement support estimate, including legal document review and company-record alignment</t>
  </si>
  <si>
    <t>Prepare share subscription agreements where the structure needs them</t>
  </si>
  <si>
    <t>RBO / beneficial-owner filing where applicable</t>
  </si>
  <si>
    <t>Annual / event-based</t>
  </si>
  <si>
    <t>Beneficial-owner filing and annual/trigger-event monitoring support; checked in all options for IE company structures</t>
  </si>
  <si>
    <t>All IE company structures need beneficial-owner filing work, so this is included across plans</t>
  </si>
  <si>
    <t>Personal tax bookkeeping and filing add-on</t>
  </si>
  <si>
    <t>Optional annual</t>
  </si>
  <si>
    <t>Optional annual personal tax bookkeeping and filing estimate; separate from company operating entity services</t>
  </si>
  <si>
    <t>Optional personal tax support outside the core company option fee</t>
  </si>
  <si>
    <t>Parental leave planning</t>
  </si>
  <si>
    <t>Optional planning</t>
  </si>
  <si>
    <t>Optional planning estimate for parental leave, owner salary timing, payroll impact and benefit timing</t>
  </si>
  <si>
    <t>Optional planning for parental leave and owner salary timing</t>
  </si>
  <si>
    <t>Client forecast and life-change planning</t>
  </si>
  <si>
    <t>Recurring annual or event-driven forecast updates after life/business changes; support estimate based on tax/accounting advisory time</t>
  </si>
  <si>
    <t>Refresh the client forecast for the new year and after material life or business changes</t>
  </si>
  <si>
    <t>Client calls, inbounds and periodic updates</t>
  </si>
  <si>
    <t>Recurring client calls, inbound messages, meeting notes, monthly or quarterly updates, and task ownership</t>
  </si>
  <si>
    <t>Handle client calls, inbound messages, meeting notes and periodic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</si>
</sst>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€#,##0;[Red]-€#,##0"/>
    <numFmt numFmtId="165" formatCode="[$€-2]#,##0;[Red]([$€-2]#,##0);-"/>
    <numFmt numFmtId="166" formatCode="0.0%"/>
    <numFmt numFmtId="167" formatCode="0.0"/>
    <numFmt numFmtId="168" formatCode="0.0%;[Red](0.0%);-"/>
    <numFmt numFmtId="169" formatCode="€#,##0"/>
  </numFmts>
  <fonts count="21">
    <font>
      <sz val="11.0"/>
      <color rgb="FF000000"/>
      <name val="Carlito"/>
      <scheme val="minor"/>
    </font>
    <font>
      <b/>
      <sz val="14.0"/>
      <color rgb="FFFFFFFF"/>
      <name val="Carlito"/>
      <scheme val="minor"/>
    </font>
    <font>
      <i/>
      <sz val="9.0"/>
      <color rgb="FF404040"/>
      <name val="Roboto"/>
    </font>
    <font>
      <b/>
      <color rgb="FFFFFFFF"/>
      <name val="Carlito"/>
      <scheme val="minor"/>
    </font>
    <font>
      <b/>
      <sz val="11.0"/>
      <color theme="1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11.0"/>
      <color rgb="FF000000"/>
      <name val="Roboto"/>
    </font>
    <font>
      <sz val="11.0"/>
      <color theme="1"/>
      <name val="Carlito"/>
    </font>
    <font>
      <b/>
      <sz val="11.0"/>
      <color rgb="FFFFFFFF"/>
      <name val="Roboto"/>
    </font>
    <font/>
    <font>
      <color theme="1"/>
      <name val="Carlito"/>
      <scheme val="minor"/>
    </font>
    <font>
      <sz val="11.0"/>
      <color rgb="FF000000"/>
      <name val="Carlito"/>
    </font>
    <font>
      <b/>
      <sz val="14.0"/>
      <color rgb="FFFFFFFF"/>
      <name val="Roboto"/>
    </font>
    <font>
      <b/>
      <sz val="10.0"/>
      <color theme="1"/>
      <name val="Roboto"/>
    </font>
    <font>
      <sz val="10.0"/>
      <color rgb="FF1E1E1E"/>
      <name val="Roboto"/>
    </font>
    <font>
      <i/>
      <sz val="9.0"/>
      <color rgb="FF3F3F3F"/>
      <name val="Roboto"/>
    </font>
    <font>
      <b/>
      <sz val="10.0"/>
      <color rgb="FFFFFFFF"/>
      <name val="Roboto"/>
    </font>
    <font>
      <u/>
      <sz val="10.0"/>
      <color rgb="FF1E1E1E"/>
      <name val="Roboto"/>
    </font>
    <font>
      <u/>
      <sz val="10.0"/>
      <color rgb="FF1E1E1E"/>
      <name val="Roboto"/>
    </font>
    <font>
      <u/>
      <sz val="10.0"/>
      <color rgb="FF1E1E1E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21352D"/>
        <bgColor rgb="FF21352D"/>
      </patternFill>
    </fill>
    <fill>
      <patternFill patternType="solid">
        <fgColor rgb="FFF3F5F2"/>
        <bgColor rgb="FFF3F5F2"/>
      </patternFill>
    </fill>
    <fill>
      <patternFill patternType="solid">
        <fgColor rgb="FF386354"/>
        <bgColor rgb="FF386354"/>
      </patternFill>
    </fill>
    <fill>
      <patternFill patternType="solid">
        <fgColor rgb="FFE2F0D9"/>
        <bgColor rgb="FFE2F0D9"/>
      </patternFill>
    </fill>
    <fill>
      <patternFill patternType="solid">
        <fgColor rgb="FF3B6557"/>
        <bgColor rgb="FF3B6557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D9E2D8"/>
      </left>
      <right style="thin">
        <color rgb="FFD9E2D8"/>
      </right>
      <top style="thin">
        <color rgb="FFD9E2D8"/>
      </top>
      <bottom style="thin">
        <color rgb="FFD9E2D8"/>
      </bottom>
    </border>
    <border>
      <left style="thin">
        <color rgb="FFD9E2D8"/>
      </left>
      <top style="thin">
        <color rgb="FFD9E2D8"/>
      </top>
      <bottom style="thin">
        <color rgb="FFD9E2D8"/>
      </bottom>
    </border>
    <border>
      <top style="thin">
        <color rgb="FFD9E2D8"/>
      </top>
      <bottom style="thin">
        <color rgb="FFD9E2D8"/>
      </bottom>
    </border>
    <border>
      <right style="thin">
        <color rgb="FFD9E2D8"/>
      </right>
      <top style="thin">
        <color rgb="FFD9E2D8"/>
      </top>
      <bottom style="thin">
        <color rgb="FFD9E2D8"/>
      </bottom>
    </border>
    <border>
      <left style="thin">
        <color rgb="FFD9E2D8"/>
      </left>
      <right style="thin">
        <color rgb="FFD9E2D8"/>
      </right>
      <top style="thin">
        <color rgb="FFD9E2D8"/>
      </top>
    </border>
    <border>
      <left style="medium">
        <color rgb="FF21352E"/>
      </left>
      <top style="medium">
        <color rgb="FF21352E"/>
      </top>
      <bottom style="thin">
        <color rgb="FFD9E2D8"/>
      </bottom>
    </border>
    <border>
      <top style="medium">
        <color rgb="FF21352E"/>
      </top>
      <bottom style="thin">
        <color rgb="FFD9E2D8"/>
      </bottom>
    </border>
    <border>
      <right style="medium">
        <color rgb="FF21352E"/>
      </right>
      <top style="medium">
        <color rgb="FF21352E"/>
      </top>
      <bottom style="thin">
        <color rgb="FFD9E2D8"/>
      </bottom>
    </border>
    <border>
      <left style="medium">
        <color rgb="FF21352E"/>
      </left>
      <right style="thin">
        <color rgb="FFD9E2D8"/>
      </right>
      <top style="thin">
        <color rgb="FFD9E2D8"/>
      </top>
      <bottom style="thin">
        <color rgb="FFD9E2D8"/>
      </bottom>
    </border>
    <border>
      <left style="thin">
        <color rgb="FFD9E2D8"/>
      </left>
      <right style="medium">
        <color rgb="FF21352E"/>
      </right>
      <top style="thin">
        <color rgb="FFD9E2D8"/>
      </top>
      <bottom style="thin">
        <color rgb="FFD9E2D8"/>
      </bottom>
    </border>
    <border>
      <left style="medium">
        <color rgb="FF21352E"/>
      </left>
      <top style="thin">
        <color rgb="FFD9E2D8"/>
      </top>
      <bottom style="medium">
        <color rgb="FF21352E"/>
      </bottom>
    </border>
    <border>
      <top style="thin">
        <color rgb="FFD9E2D8"/>
      </top>
      <bottom style="medium">
        <color rgb="FF21352E"/>
      </bottom>
    </border>
    <border>
      <right style="medium">
        <color rgb="FF21352E"/>
      </right>
      <top style="thin">
        <color rgb="FFD9E2D8"/>
      </top>
      <bottom style="medium">
        <color rgb="FF21352E"/>
      </bottom>
    </border>
    <border>
      <left style="medium">
        <color rgb="FF21352E"/>
      </left>
      <right style="thin">
        <color rgb="FFD9E2D8"/>
      </right>
      <top style="thin">
        <color rgb="FFD9E2D8"/>
      </top>
      <bottom style="medium">
        <color rgb="FF21352E"/>
      </bottom>
    </border>
    <border>
      <left style="thin">
        <color rgb="FFD9E2D8"/>
      </left>
      <right style="thin">
        <color rgb="FFD9E2D8"/>
      </right>
      <top style="thin">
        <color rgb="FFD9E2D8"/>
      </top>
      <bottom style="medium">
        <color rgb="FF21352E"/>
      </bottom>
    </border>
    <border>
      <left style="thin">
        <color rgb="FFD9E2D8"/>
      </left>
      <right style="medium">
        <color rgb="FF21352E"/>
      </right>
      <top style="thin">
        <color rgb="FFD9E2D8"/>
      </top>
      <bottom style="medium">
        <color rgb="FF21352E"/>
      </bottom>
    </border>
    <border>
      <left style="thin">
        <color rgb="FFBFBFBF"/>
      </left>
      <right style="thin">
        <color rgb="FFDBDBDB"/>
      </right>
      <top style="thin">
        <color rgb="FFBFBFBF"/>
      </top>
      <bottom style="thin">
        <color rgb="FFDBDBDB"/>
      </bottom>
    </border>
    <border>
      <left style="thin">
        <color rgb="FFDBDBDB"/>
      </left>
      <right style="thin">
        <color rgb="FFDBDBDB"/>
      </right>
      <top style="thin">
        <color rgb="FFBFBFBF"/>
      </top>
      <bottom style="thin">
        <color rgb="FFDBDBDB"/>
      </bottom>
    </border>
    <border>
      <left style="thin">
        <color rgb="FFDBDBDB"/>
      </left>
      <right style="thin">
        <color rgb="FFBFBFBF"/>
      </right>
      <top style="thin">
        <color rgb="FFBFBFBF"/>
      </top>
      <bottom style="thin">
        <color rgb="FFDBDBDB"/>
      </bottom>
    </border>
    <border>
      <left style="thin">
        <color rgb="FFBFBFBF"/>
      </left>
      <right style="thin">
        <color rgb="FFDBDBDB"/>
      </right>
      <top style="thin">
        <color rgb="FFDBDBDB"/>
      </top>
      <bottom style="thin">
        <color rgb="FFDBDBDB"/>
      </bottom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  <border>
      <left style="thin">
        <color rgb="FFDBDBDB"/>
      </left>
      <right style="thin">
        <color rgb="FFBFBFBF"/>
      </right>
      <top style="thin">
        <color rgb="FFDBDBDB"/>
      </top>
      <bottom style="thin">
        <color rgb="FFDBDBDB"/>
      </bottom>
    </border>
    <border>
      <left style="thin">
        <color rgb="FFBFBFBF"/>
      </left>
      <right style="thin">
        <color rgb="FFDBDBDB"/>
      </right>
      <top style="thin">
        <color rgb="FFDBDBDB"/>
      </top>
      <bottom style="thin">
        <color rgb="FFBFBFBF"/>
      </bottom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BFBFBF"/>
      </bottom>
    </border>
    <border>
      <left style="thin">
        <color rgb="FFDBDBDB"/>
      </left>
      <right style="thin">
        <color rgb="FFBFBFBF"/>
      </right>
      <top style="thin">
        <color rgb="FFDBDBDB"/>
      </top>
      <bottom style="thin">
        <color rgb="FFBFBFBF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vertical="center" wrapText="1"/>
    </xf>
    <xf borderId="1" fillId="4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0" fontId="6" numFmtId="164" xfId="0" applyBorder="1" applyFont="1" applyNumberFormat="1"/>
    <xf borderId="1" fillId="0" fontId="6" numFmtId="164" xfId="0" applyAlignment="1" applyBorder="1" applyFont="1" applyNumberFormat="1">
      <alignment readingOrder="0"/>
    </xf>
    <xf borderId="1" fillId="5" fontId="7" numFmtId="164" xfId="0" applyAlignment="1" applyBorder="1" applyFill="1" applyFont="1" applyNumberFormat="1">
      <alignment readingOrder="0"/>
    </xf>
    <xf borderId="1" fillId="5" fontId="7" numFmtId="164" xfId="0" applyBorder="1" applyFont="1" applyNumberFormat="1"/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1" fillId="0" fontId="8" numFmtId="164" xfId="0" applyBorder="1" applyFont="1" applyNumberFormat="1"/>
    <xf borderId="2" fillId="6" fontId="9" numFmtId="0" xfId="0" applyAlignment="1" applyBorder="1" applyFill="1" applyFont="1">
      <alignment readingOrder="0" vertical="center"/>
    </xf>
    <xf borderId="3" fillId="6" fontId="9" numFmtId="164" xfId="0" applyAlignment="1" applyBorder="1" applyFont="1" applyNumberFormat="1">
      <alignment readingOrder="0" vertical="center"/>
    </xf>
    <xf borderId="4" fillId="6" fontId="9" numFmtId="164" xfId="0" applyAlignment="1" applyBorder="1" applyFont="1" applyNumberFormat="1">
      <alignment vertical="center"/>
    </xf>
    <xf borderId="1" fillId="0" fontId="8" numFmtId="165" xfId="0" applyBorder="1" applyFont="1" applyNumberFormat="1"/>
    <xf borderId="2" fillId="4" fontId="3" numFmtId="0" xfId="0" applyAlignment="1" applyBorder="1" applyFont="1">
      <alignment readingOrder="0" shrinkToFit="0" wrapText="1"/>
    </xf>
    <xf borderId="3" fillId="0" fontId="10" numFmtId="0" xfId="0" applyBorder="1" applyFont="1"/>
    <xf borderId="4" fillId="0" fontId="10" numFmtId="0" xfId="0" applyBorder="1" applyFont="1"/>
    <xf borderId="1" fillId="3" fontId="4" numFmtId="164" xfId="0" applyAlignment="1" applyBorder="1" applyFont="1" applyNumberFormat="1">
      <alignment readingOrder="0"/>
    </xf>
    <xf borderId="1" fillId="3" fontId="4" numFmtId="164" xfId="0" applyBorder="1" applyFont="1" applyNumberFormat="1"/>
    <xf borderId="3" fillId="6" fontId="9" numFmtId="166" xfId="0" applyAlignment="1" applyBorder="1" applyFont="1" applyNumberFormat="1">
      <alignment vertical="center"/>
    </xf>
    <xf borderId="4" fillId="6" fontId="9" numFmtId="166" xfId="0" applyAlignment="1" applyBorder="1" applyFont="1" applyNumberFormat="1">
      <alignment vertical="center"/>
    </xf>
    <xf borderId="5" fillId="0" fontId="8" numFmtId="0" xfId="0" applyAlignment="1" applyBorder="1" applyFont="1">
      <alignment readingOrder="0"/>
    </xf>
    <xf borderId="5" fillId="0" fontId="8" numFmtId="164" xfId="0" applyAlignment="1" applyBorder="1" applyFont="1" applyNumberFormat="1">
      <alignment readingOrder="0"/>
    </xf>
    <xf borderId="5" fillId="0" fontId="8" numFmtId="164" xfId="0" applyBorder="1" applyFont="1" applyNumberFormat="1"/>
    <xf borderId="6" fillId="6" fontId="9" numFmtId="0" xfId="0" applyAlignment="1" applyBorder="1" applyFont="1">
      <alignment readingOrder="0" vertical="center"/>
    </xf>
    <xf borderId="7" fillId="6" fontId="9" numFmtId="164" xfId="0" applyAlignment="1" applyBorder="1" applyFont="1" applyNumberFormat="1">
      <alignment readingOrder="0" vertical="center"/>
    </xf>
    <xf borderId="7" fillId="6" fontId="9" numFmtId="164" xfId="0" applyAlignment="1" applyBorder="1" applyFont="1" applyNumberFormat="1">
      <alignment vertical="center"/>
    </xf>
    <xf borderId="8" fillId="6" fontId="9" numFmtId="164" xfId="0" applyAlignment="1" applyBorder="1" applyFont="1" applyNumberFormat="1">
      <alignment vertical="center"/>
    </xf>
    <xf borderId="9" fillId="7" fontId="4" numFmtId="0" xfId="0" applyAlignment="1" applyBorder="1" applyFill="1" applyFont="1">
      <alignment readingOrder="0" shrinkToFit="0" wrapText="1"/>
    </xf>
    <xf borderId="1" fillId="7" fontId="4" numFmtId="164" xfId="0" applyAlignment="1" applyBorder="1" applyFont="1" applyNumberFormat="1">
      <alignment readingOrder="0"/>
    </xf>
    <xf borderId="1" fillId="7" fontId="4" numFmtId="164" xfId="0" applyBorder="1" applyFont="1" applyNumberFormat="1"/>
    <xf borderId="10" fillId="7" fontId="4" numFmtId="164" xfId="0" applyBorder="1" applyFont="1" applyNumberFormat="1"/>
    <xf borderId="9" fillId="7" fontId="4" numFmtId="0" xfId="0" applyAlignment="1" applyBorder="1" applyFont="1">
      <alignment shrinkToFit="0" wrapText="1"/>
    </xf>
    <xf borderId="11" fillId="4" fontId="3" numFmtId="0" xfId="0" applyAlignment="1" applyBorder="1" applyFont="1">
      <alignment readingOrder="0" shrinkToFit="0" wrapText="1"/>
    </xf>
    <xf borderId="12" fillId="0" fontId="10" numFmtId="0" xfId="0" applyBorder="1" applyFont="1"/>
    <xf borderId="13" fillId="0" fontId="10" numFmtId="0" xfId="0" applyBorder="1" applyFont="1"/>
    <xf borderId="3" fillId="6" fontId="9" numFmtId="164" xfId="0" applyAlignment="1" applyBorder="1" applyFont="1" applyNumberFormat="1">
      <alignment vertical="center"/>
    </xf>
    <xf borderId="1" fillId="3" fontId="4" numFmtId="0" xfId="0" applyAlignment="1" applyBorder="1" applyFont="1">
      <alignment readingOrder="0" shrinkToFit="0" wrapText="1"/>
    </xf>
    <xf borderId="1" fillId="3" fontId="5" numFmtId="164" xfId="0" applyAlignment="1" applyBorder="1" applyFont="1" applyNumberFormat="1">
      <alignment readingOrder="0"/>
    </xf>
    <xf borderId="1" fillId="3" fontId="5" numFmtId="164" xfId="0" applyBorder="1" applyFont="1" applyNumberFormat="1"/>
    <xf borderId="1" fillId="3" fontId="5" numFmtId="167" xfId="0" applyBorder="1" applyFont="1" applyNumberFormat="1"/>
    <xf borderId="1" fillId="3" fontId="5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2" fillId="4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4" fillId="4" fontId="3" numFmtId="0" xfId="0" applyAlignment="1" applyBorder="1" applyFont="1">
      <alignment readingOrder="0" shrinkToFit="0" vertical="center" wrapText="1"/>
    </xf>
    <xf borderId="1" fillId="8" fontId="6" numFmtId="0" xfId="0" applyAlignment="1" applyBorder="1" applyFill="1" applyFont="1">
      <alignment readingOrder="0" shrinkToFit="0" wrapText="1"/>
    </xf>
    <xf borderId="1" fillId="9" fontId="6" numFmtId="0" xfId="0" applyBorder="1" applyFill="1" applyFont="1"/>
    <xf borderId="1" fillId="8" fontId="12" numFmtId="0" xfId="0" applyAlignment="1" applyBorder="1" applyFont="1">
      <alignment readingOrder="0"/>
    </xf>
    <xf borderId="1" fillId="8" fontId="6" numFmtId="0" xfId="0" applyAlignment="1" applyBorder="1" applyFont="1">
      <alignment readingOrder="0"/>
    </xf>
    <xf borderId="1" fillId="9" fontId="6" numFmtId="0" xfId="0" applyAlignment="1" applyBorder="1" applyFont="1">
      <alignment readingOrder="0"/>
    </xf>
    <xf borderId="1" fillId="8" fontId="6" numFmtId="0" xfId="0" applyBorder="1" applyFont="1"/>
    <xf borderId="1" fillId="8" fontId="12" numFmtId="0" xfId="0" applyBorder="1" applyFont="1"/>
    <xf borderId="2" fillId="8" fontId="6" numFmtId="0" xfId="0" applyAlignment="1" applyBorder="1" applyFont="1">
      <alignment readingOrder="0" shrinkToFit="0" vertical="center" wrapText="1"/>
    </xf>
    <xf borderId="3" fillId="8" fontId="6" numFmtId="0" xfId="0" applyAlignment="1" applyBorder="1" applyFont="1">
      <alignment readingOrder="0" shrinkToFit="0" vertical="center" wrapText="1"/>
    </xf>
    <xf borderId="4" fillId="8" fontId="6" numFmtId="0" xfId="0" applyAlignment="1" applyBorder="1" applyFont="1">
      <alignment readingOrder="0" shrinkToFit="0" vertical="center" wrapText="1"/>
    </xf>
    <xf borderId="1" fillId="8" fontId="6" numFmtId="166" xfId="0" applyAlignment="1" applyBorder="1" applyFont="1" applyNumberFormat="1">
      <alignment readingOrder="0"/>
    </xf>
    <xf borderId="1" fillId="8" fontId="6" numFmtId="168" xfId="0" applyAlignment="1" applyBorder="1" applyFont="1" applyNumberFormat="1">
      <alignment readingOrder="0"/>
    </xf>
    <xf borderId="2" fillId="8" fontId="6" numFmtId="0" xfId="0" applyAlignment="1" applyBorder="1" applyFont="1">
      <alignment readingOrder="0" shrinkToFit="0" wrapText="1"/>
    </xf>
    <xf borderId="3" fillId="8" fontId="6" numFmtId="0" xfId="0" applyAlignment="1" applyBorder="1" applyFont="1">
      <alignment readingOrder="0" shrinkToFit="0" wrapText="1"/>
    </xf>
    <xf borderId="4" fillId="8" fontId="6" numFmtId="0" xfId="0" applyAlignment="1" applyBorder="1" applyFont="1">
      <alignment readingOrder="0" shrinkToFit="0" wrapText="1"/>
    </xf>
    <xf borderId="1" fillId="9" fontId="6" numFmtId="164" xfId="0" applyAlignment="1" applyBorder="1" applyFont="1" applyNumberFormat="1">
      <alignment readingOrder="0"/>
    </xf>
    <xf borderId="3" fillId="9" fontId="6" numFmtId="164" xfId="0" applyAlignment="1" applyBorder="1" applyFont="1" applyNumberFormat="1">
      <alignment readingOrder="0" shrinkToFit="0" vertical="center" wrapText="1"/>
    </xf>
    <xf borderId="1" fillId="9" fontId="6" numFmtId="49" xfId="0" applyAlignment="1" applyBorder="1" applyFont="1" applyNumberFormat="1">
      <alignment readingOrder="0"/>
    </xf>
    <xf borderId="1" fillId="8" fontId="6" numFmtId="164" xfId="0" applyAlignment="1" applyBorder="1" applyFont="1" applyNumberFormat="1">
      <alignment readingOrder="0"/>
    </xf>
    <xf borderId="1" fillId="8" fontId="6" numFmtId="164" xfId="0" applyBorder="1" applyFont="1" applyNumberFormat="1"/>
    <xf borderId="3" fillId="8" fontId="6" numFmtId="164" xfId="0" applyAlignment="1" applyBorder="1" applyFont="1" applyNumberFormat="1">
      <alignment readingOrder="0" shrinkToFit="0" wrapText="1"/>
    </xf>
    <xf borderId="1" fillId="9" fontId="6" numFmtId="1" xfId="0" applyAlignment="1" applyBorder="1" applyFont="1" applyNumberFormat="1">
      <alignment readingOrder="0"/>
    </xf>
    <xf borderId="1" fillId="9" fontId="6" numFmtId="166" xfId="0" applyAlignment="1" applyBorder="1" applyFont="1" applyNumberFormat="1">
      <alignment readingOrder="0"/>
    </xf>
    <xf borderId="1" fillId="8" fontId="6" numFmtId="0" xfId="0" applyAlignment="1" applyBorder="1" applyFont="1">
      <alignment shrinkToFit="0" wrapText="1"/>
    </xf>
    <xf borderId="5" fillId="8" fontId="6" numFmtId="0" xfId="0" applyAlignment="1" applyBorder="1" applyFont="1">
      <alignment readingOrder="0" shrinkToFit="0" wrapText="1"/>
    </xf>
    <xf borderId="5" fillId="8" fontId="6" numFmtId="164" xfId="0" applyAlignment="1" applyBorder="1" applyFont="1" applyNumberFormat="1">
      <alignment readingOrder="0"/>
    </xf>
    <xf borderId="5" fillId="8" fontId="12" numFmtId="0" xfId="0" applyAlignment="1" applyBorder="1" applyFont="1">
      <alignment readingOrder="0"/>
    </xf>
    <xf borderId="6" fillId="8" fontId="6" numFmtId="0" xfId="0" applyAlignment="1" applyBorder="1" applyFont="1">
      <alignment readingOrder="0" shrinkToFit="0" vertical="center" wrapText="1"/>
    </xf>
    <xf borderId="7" fillId="9" fontId="6" numFmtId="164" xfId="0" applyAlignment="1" applyBorder="1" applyFont="1" applyNumberFormat="1">
      <alignment readingOrder="0" shrinkToFit="0" vertical="center" wrapText="1"/>
    </xf>
    <xf borderId="7" fillId="8" fontId="6" numFmtId="0" xfId="0" applyAlignment="1" applyBorder="1" applyFont="1">
      <alignment readingOrder="0" shrinkToFit="0" vertical="center" wrapText="1"/>
    </xf>
    <xf borderId="8" fillId="8" fontId="6" numFmtId="0" xfId="0" applyAlignment="1" applyBorder="1" applyFont="1">
      <alignment readingOrder="0" shrinkToFit="0" vertical="center" wrapText="1"/>
    </xf>
    <xf borderId="9" fillId="8" fontId="6" numFmtId="0" xfId="0" applyAlignment="1" applyBorder="1" applyFont="1">
      <alignment readingOrder="0" shrinkToFit="0" wrapText="1"/>
    </xf>
    <xf borderId="10" fillId="8" fontId="12" numFmtId="0" xfId="0" applyAlignment="1" applyBorder="1" applyFont="1">
      <alignment readingOrder="0"/>
    </xf>
    <xf borderId="1" fillId="8" fontId="6" numFmtId="1" xfId="0" applyAlignment="1" applyBorder="1" applyFont="1" applyNumberFormat="1">
      <alignment readingOrder="0"/>
    </xf>
    <xf borderId="14" fillId="8" fontId="6" numFmtId="0" xfId="0" applyAlignment="1" applyBorder="1" applyFont="1">
      <alignment readingOrder="0" shrinkToFit="0" wrapText="1"/>
    </xf>
    <xf borderId="15" fillId="8" fontId="6" numFmtId="164" xfId="0" applyAlignment="1" applyBorder="1" applyFont="1" applyNumberFormat="1">
      <alignment readingOrder="0"/>
    </xf>
    <xf borderId="15" fillId="8" fontId="12" numFmtId="0" xfId="0" applyAlignment="1" applyBorder="1" applyFont="1">
      <alignment readingOrder="0"/>
    </xf>
    <xf borderId="16" fillId="8" fontId="12" numFmtId="0" xfId="0" applyAlignment="1" applyBorder="1" applyFont="1">
      <alignment readingOrder="0"/>
    </xf>
    <xf borderId="2" fillId="6" fontId="9" numFmtId="0" xfId="0" applyAlignment="1" applyBorder="1" applyFont="1">
      <alignment shrinkToFit="0" vertical="center" wrapText="1"/>
    </xf>
    <xf borderId="3" fillId="6" fontId="9" numFmtId="0" xfId="0" applyAlignment="1" applyBorder="1" applyFont="1">
      <alignment shrinkToFit="0" vertical="center" wrapText="1"/>
    </xf>
    <xf borderId="4" fillId="6" fontId="9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wrapText="1"/>
    </xf>
    <xf borderId="1" fillId="3" fontId="6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3" fontId="4" numFmtId="0" xfId="0" applyAlignment="1" applyBorder="1" applyFont="1">
      <alignment readingOrder="0"/>
    </xf>
    <xf borderId="1" fillId="3" fontId="4" numFmtId="0" xfId="0" applyBorder="1" applyFont="1"/>
    <xf borderId="1" fillId="6" fontId="9" numFmtId="0" xfId="0" applyAlignment="1" applyBorder="1" applyFont="1">
      <alignment readingOrder="0"/>
    </xf>
    <xf borderId="1" fillId="6" fontId="9" numFmtId="165" xfId="0" applyAlignment="1" applyBorder="1" applyFont="1" applyNumberFormat="1">
      <alignment readingOrder="0"/>
    </xf>
    <xf borderId="1" fillId="6" fontId="9" numFmtId="164" xfId="0" applyBorder="1" applyFont="1" applyNumberFormat="1"/>
    <xf borderId="1" fillId="0" fontId="8" numFmtId="165" xfId="0" applyAlignment="1" applyBorder="1" applyFont="1" applyNumberFormat="1">
      <alignment readingOrder="0"/>
    </xf>
    <xf borderId="1" fillId="0" fontId="8" numFmtId="0" xfId="0" applyBorder="1" applyFont="1"/>
    <xf borderId="1" fillId="3" fontId="4" numFmtId="165" xfId="0" applyAlignment="1" applyBorder="1" applyFont="1" applyNumberFormat="1">
      <alignment readingOrder="0"/>
    </xf>
    <xf borderId="1" fillId="3" fontId="4" numFmtId="165" xfId="0" applyBorder="1" applyFont="1" applyNumberFormat="1"/>
    <xf borderId="0" fillId="2" fontId="13" numFmtId="0" xfId="0" applyAlignment="1" applyFont="1">
      <alignment horizontal="left" readingOrder="0" shrinkToFit="0" vertical="center" wrapText="1"/>
    </xf>
    <xf borderId="0" fillId="3" fontId="14" numFmtId="0" xfId="0" applyAlignment="1" applyFont="1">
      <alignment readingOrder="0" shrinkToFit="0" vertical="center" wrapText="0"/>
    </xf>
    <xf borderId="0" fillId="3" fontId="14" numFmtId="169" xfId="0" applyAlignment="1" applyFont="1" applyNumberFormat="1">
      <alignment horizontal="center" shrinkToFit="0" vertical="center" wrapText="0"/>
    </xf>
    <xf borderId="0" fillId="8" fontId="15" numFmtId="0" xfId="0" applyAlignment="1" applyFont="1">
      <alignment shrinkToFit="0" vertical="center" wrapText="0"/>
    </xf>
    <xf borderId="0" fillId="3" fontId="14" numFmtId="169" xfId="0" applyAlignment="1" applyFont="1" applyNumberFormat="1">
      <alignment readingOrder="0" shrinkToFit="0" vertical="center" wrapText="0"/>
    </xf>
    <xf borderId="0" fillId="8" fontId="15" numFmtId="0" xfId="0" applyAlignment="1" applyFont="1">
      <alignment readingOrder="0" shrinkToFit="0" vertical="center" wrapText="0"/>
    </xf>
    <xf borderId="0" fillId="3" fontId="16" numFmtId="0" xfId="0" applyAlignment="1" applyFont="1">
      <alignment readingOrder="0" shrinkToFit="0" vertical="center" wrapText="1"/>
    </xf>
    <xf borderId="17" fillId="8" fontId="15" numFmtId="0" xfId="0" applyAlignment="1" applyBorder="1" applyFont="1">
      <alignment horizontal="center" readingOrder="0" shrinkToFit="0" vertical="center" wrapText="0"/>
    </xf>
    <xf borderId="18" fillId="8" fontId="15" numFmtId="0" xfId="0" applyAlignment="1" applyBorder="1" applyFont="1">
      <alignment horizontal="center" readingOrder="0" shrinkToFit="0" vertical="center" wrapText="0"/>
    </xf>
    <xf borderId="19" fillId="8" fontId="15" numFmtId="0" xfId="0" applyAlignment="1" applyBorder="1" applyFont="1">
      <alignment horizontal="center" readingOrder="0" shrinkToFit="0" vertical="center" wrapText="0"/>
    </xf>
    <xf borderId="20" fillId="4" fontId="17" numFmtId="0" xfId="0" applyAlignment="1" applyBorder="1" applyFont="1">
      <alignment horizontal="center" readingOrder="0" shrinkToFit="0" vertical="center" wrapText="1"/>
    </xf>
    <xf borderId="21" fillId="4" fontId="17" numFmtId="0" xfId="0" applyAlignment="1" applyBorder="1" applyFont="1">
      <alignment horizontal="center" readingOrder="0" shrinkToFit="0" vertical="center" wrapText="1"/>
    </xf>
    <xf borderId="21" fillId="4" fontId="17" numFmtId="169" xfId="0" applyAlignment="1" applyBorder="1" applyFont="1" applyNumberFormat="1">
      <alignment horizontal="center" readingOrder="0" shrinkToFit="0" vertical="center" wrapText="1"/>
    </xf>
    <xf borderId="22" fillId="4" fontId="17" numFmtId="0" xfId="0" applyAlignment="1" applyBorder="1" applyFont="1">
      <alignment horizontal="center" readingOrder="0" shrinkToFit="0" vertical="center" wrapText="1"/>
    </xf>
    <xf borderId="20" fillId="8" fontId="15" numFmtId="0" xfId="0" applyAlignment="1" applyBorder="1" applyFont="1">
      <alignment readingOrder="0" shrinkToFit="0" vertical="center" wrapText="1"/>
    </xf>
    <xf borderId="21" fillId="8" fontId="15" numFmtId="0" xfId="0" applyAlignment="1" applyBorder="1" applyFont="1">
      <alignment horizontal="center" readingOrder="0" shrinkToFit="0" vertical="center" wrapText="0"/>
    </xf>
    <xf borderId="21" fillId="8" fontId="15" numFmtId="169" xfId="0" applyAlignment="1" applyBorder="1" applyFont="1" applyNumberFormat="1">
      <alignment horizontal="right" readingOrder="0" shrinkToFit="0" vertical="center" wrapText="0"/>
    </xf>
    <xf borderId="21" fillId="8" fontId="15" numFmtId="169" xfId="0" applyAlignment="1" applyBorder="1" applyFont="1" applyNumberFormat="1">
      <alignment readingOrder="0" shrinkToFit="0" vertical="center" wrapText="0"/>
    </xf>
    <xf borderId="21" fillId="8" fontId="15" numFmtId="49" xfId="0" applyAlignment="1" applyBorder="1" applyFont="1" applyNumberFormat="1">
      <alignment readingOrder="0" shrinkToFit="0" vertical="center" wrapText="0"/>
    </xf>
    <xf borderId="21" fillId="8" fontId="15" numFmtId="0" xfId="0" applyAlignment="1" applyBorder="1" applyFont="1">
      <alignment readingOrder="0" shrinkToFit="0" vertical="center" wrapText="0"/>
    </xf>
    <xf borderId="21" fillId="8" fontId="18" numFmtId="0" xfId="0" applyAlignment="1" applyBorder="1" applyFont="1">
      <alignment readingOrder="0" shrinkToFit="0" vertical="center" wrapText="0"/>
    </xf>
    <xf borderId="22" fillId="8" fontId="15" numFmtId="0" xfId="0" applyAlignment="1" applyBorder="1" applyFont="1">
      <alignment readingOrder="0" shrinkToFit="0" vertical="center" wrapText="0"/>
    </xf>
    <xf borderId="23" fillId="8" fontId="15" numFmtId="0" xfId="0" applyAlignment="1" applyBorder="1" applyFont="1">
      <alignment readingOrder="0" shrinkToFit="0" vertical="center" wrapText="1"/>
    </xf>
    <xf borderId="24" fillId="8" fontId="15" numFmtId="0" xfId="0" applyAlignment="1" applyBorder="1" applyFont="1">
      <alignment horizontal="center" readingOrder="0" shrinkToFit="0" vertical="center" wrapText="0"/>
    </xf>
    <xf borderId="24" fillId="8" fontId="15" numFmtId="169" xfId="0" applyAlignment="1" applyBorder="1" applyFont="1" applyNumberFormat="1">
      <alignment horizontal="right" readingOrder="0" shrinkToFit="0" vertical="center" wrapText="0"/>
    </xf>
    <xf borderId="24" fillId="8" fontId="15" numFmtId="169" xfId="0" applyAlignment="1" applyBorder="1" applyFont="1" applyNumberFormat="1">
      <alignment readingOrder="0" shrinkToFit="0" vertical="center" wrapText="0"/>
    </xf>
    <xf borderId="24" fillId="8" fontId="15" numFmtId="49" xfId="0" applyAlignment="1" applyBorder="1" applyFont="1" applyNumberFormat="1">
      <alignment readingOrder="0" shrinkToFit="0" vertical="center" wrapText="0"/>
    </xf>
    <xf borderId="24" fillId="8" fontId="15" numFmtId="0" xfId="0" applyAlignment="1" applyBorder="1" applyFont="1">
      <alignment readingOrder="0" shrinkToFit="0" vertical="center" wrapText="0"/>
    </xf>
    <xf borderId="24" fillId="8" fontId="19" numFmtId="0" xfId="0" applyAlignment="1" applyBorder="1" applyFont="1">
      <alignment readingOrder="0" shrinkToFit="0" vertical="center" wrapText="0"/>
    </xf>
    <xf borderId="25" fillId="8" fontId="15" numFmtId="0" xfId="0" applyAlignment="1" applyBorder="1" applyFont="1">
      <alignment readingOrder="0" shrinkToFit="0" vertical="center" wrapText="0"/>
    </xf>
    <xf borderId="0" fillId="8" fontId="15" numFmtId="0" xfId="0" applyAlignment="1" applyFont="1">
      <alignment readingOrder="0" shrinkToFit="0" vertical="center" wrapText="1"/>
    </xf>
    <xf borderId="0" fillId="8" fontId="15" numFmtId="169" xfId="0" applyAlignment="1" applyFont="1" applyNumberFormat="1">
      <alignment readingOrder="0" shrinkToFit="0" vertical="center" wrapText="0"/>
    </xf>
    <xf borderId="0" fillId="8" fontId="15" numFmtId="49" xfId="0" applyAlignment="1" applyFont="1" applyNumberFormat="1">
      <alignment readingOrder="0" shrinkToFit="0" vertical="center" wrapText="0"/>
    </xf>
    <xf borderId="0" fillId="8" fontId="20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2.63"/>
    <col customWidth="1" min="2" max="2" width="13.63"/>
    <col customWidth="1" min="3" max="3" width="30.75"/>
    <col customWidth="1" min="4" max="4" width="38.38"/>
    <col customWidth="1" min="5" max="5" width="57.0"/>
    <col customWidth="1" min="6" max="6" width="52.25"/>
    <col customWidth="1" min="7" max="26" width="8.63"/>
  </cols>
  <sheetData>
    <row r="1" ht="16.5" customHeight="1">
      <c r="A1" s="1" t="s">
        <v>0</v>
      </c>
    </row>
    <row r="2" ht="31.5" customHeight="1">
      <c r="A2" s="2" t="s">
        <v>1</v>
      </c>
    </row>
    <row r="3" ht="16.5" customHeight="1"/>
    <row r="4" ht="28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7.5" customHeight="1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6.5" customHeight="1">
      <c r="A6" s="4" t="s">
        <v>14</v>
      </c>
      <c r="B6" s="6" t="str">
        <f>Assumptions!$B$11</f>
        <v>DE</v>
      </c>
      <c r="C6" s="5" t="s">
        <v>15</v>
      </c>
      <c r="D6" s="5" t="s">
        <v>15</v>
      </c>
      <c r="E6" s="5" t="s">
        <v>15</v>
      </c>
      <c r="F6" s="5" t="s">
        <v>16</v>
      </c>
    </row>
    <row r="7" ht="16.5" customHeight="1">
      <c r="A7" s="4" t="s">
        <v>17</v>
      </c>
      <c r="B7" s="5" t="s">
        <v>18</v>
      </c>
      <c r="C7" s="5" t="s">
        <v>18</v>
      </c>
      <c r="D7" s="5" t="s">
        <v>19</v>
      </c>
      <c r="E7" s="5" t="s">
        <v>19</v>
      </c>
      <c r="F7" s="5" t="s">
        <v>19</v>
      </c>
    </row>
    <row r="8" ht="30.0" customHeight="1">
      <c r="A8" s="4" t="s">
        <v>20</v>
      </c>
      <c r="B8" s="5" t="s">
        <v>18</v>
      </c>
      <c r="C8" s="5" t="s">
        <v>18</v>
      </c>
      <c r="D8" s="5" t="s">
        <v>19</v>
      </c>
      <c r="E8" s="5" t="s">
        <v>19</v>
      </c>
      <c r="F8" s="5" t="s">
        <v>19</v>
      </c>
    </row>
    <row r="9" ht="16.5" customHeight="1">
      <c r="A9" s="4" t="s">
        <v>21</v>
      </c>
      <c r="B9" s="5" t="s">
        <v>18</v>
      </c>
      <c r="C9" s="5" t="s">
        <v>18</v>
      </c>
      <c r="D9" s="5" t="s">
        <v>19</v>
      </c>
      <c r="E9" s="5" t="s">
        <v>19</v>
      </c>
      <c r="F9" s="5" t="s">
        <v>19</v>
      </c>
    </row>
    <row r="10" ht="16.5" customHeight="1">
      <c r="A10" s="4" t="s">
        <v>22</v>
      </c>
      <c r="B10" s="5" t="s">
        <v>18</v>
      </c>
      <c r="C10" s="5" t="s">
        <v>18</v>
      </c>
      <c r="D10" s="5" t="s">
        <v>19</v>
      </c>
      <c r="E10" s="5" t="s">
        <v>19</v>
      </c>
      <c r="F10" s="5" t="s">
        <v>19</v>
      </c>
    </row>
    <row r="11" ht="16.5" customHeight="1">
      <c r="A11" s="4" t="s">
        <v>23</v>
      </c>
      <c r="B11" s="5" t="s">
        <v>18</v>
      </c>
      <c r="C11" s="5" t="s">
        <v>18</v>
      </c>
      <c r="D11" s="5" t="s">
        <v>18</v>
      </c>
      <c r="E11" s="5" t="s">
        <v>19</v>
      </c>
      <c r="F11" s="5" t="s">
        <v>18</v>
      </c>
    </row>
    <row r="12" ht="16.5" customHeight="1">
      <c r="A12" s="4" t="s">
        <v>24</v>
      </c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19</v>
      </c>
    </row>
    <row r="13" ht="16.5" customHeight="1">
      <c r="A13" s="4" t="s">
        <v>25</v>
      </c>
      <c r="B13" s="7">
        <f>Assumptions!$B$49</f>
        <v>0</v>
      </c>
      <c r="C13" s="7">
        <f>Assumptions!$B$49</f>
        <v>0</v>
      </c>
      <c r="D13" s="7">
        <f>Assumptions!$B$49</f>
        <v>0</v>
      </c>
      <c r="E13" s="7">
        <f>Assumptions!$B$49</f>
        <v>0</v>
      </c>
      <c r="F13" s="7">
        <f>Assumptions!$B$49</f>
        <v>0</v>
      </c>
    </row>
    <row r="14" ht="16.5" customHeight="1">
      <c r="A14" s="4" t="s">
        <v>26</v>
      </c>
      <c r="B14" s="8">
        <v>0.0</v>
      </c>
      <c r="C14" s="7">
        <f>Assumptions!$B$50</f>
        <v>500</v>
      </c>
      <c r="D14" s="7">
        <f>Assumptions!$B$51</f>
        <v>1000</v>
      </c>
      <c r="E14" s="7">
        <f>Assumptions!$B$51</f>
        <v>1000</v>
      </c>
      <c r="F14" s="7">
        <f>Assumptions!$B$51</f>
        <v>1000</v>
      </c>
    </row>
    <row r="15" ht="16.5" customHeight="1">
      <c r="A15" s="4" t="s">
        <v>27</v>
      </c>
      <c r="B15" s="9">
        <v>0.0</v>
      </c>
      <c r="C15" s="9">
        <v>0.0</v>
      </c>
      <c r="D15" s="10">
        <f>IF(Assumptions!$B$9&gt;Assumptions!$B$52,Assumptions!$B$53,0)</f>
        <v>0</v>
      </c>
      <c r="E15" s="10">
        <f>IF(Assumptions!$B$9&gt;Assumptions!$B$52,Assumptions!$B$53,0)</f>
        <v>0</v>
      </c>
      <c r="F15" s="10">
        <f>IF(Assumptions!$B$9&gt;Assumptions!$B$52,Assumptions!$B$53,0)</f>
        <v>0</v>
      </c>
    </row>
    <row r="16" ht="16.5" customHeight="1">
      <c r="A16" s="11" t="s">
        <v>28</v>
      </c>
      <c r="B16" s="12">
        <v>0.0</v>
      </c>
      <c r="C16" s="12">
        <v>0.0</v>
      </c>
      <c r="D16" s="12">
        <v>0.0</v>
      </c>
      <c r="E16" s="13">
        <f>Assumptions!$B$54</f>
        <v>200</v>
      </c>
      <c r="F16" s="12">
        <v>0.0</v>
      </c>
    </row>
    <row r="17" ht="16.5" customHeight="1">
      <c r="A17" s="14" t="s">
        <v>29</v>
      </c>
      <c r="B17" s="15">
        <v>0.0</v>
      </c>
      <c r="C17" s="15">
        <v>0.0</v>
      </c>
      <c r="D17" s="15">
        <v>0.0</v>
      </c>
      <c r="E17" s="15">
        <v>0.0</v>
      </c>
      <c r="F17" s="16">
        <f>Assumptions!$B$55</f>
        <v>200</v>
      </c>
    </row>
    <row r="18" ht="16.5" customHeight="1">
      <c r="A18" s="5" t="s">
        <v>30</v>
      </c>
      <c r="B18" s="12">
        <v>0.0</v>
      </c>
      <c r="C18" s="12">
        <v>0.0</v>
      </c>
      <c r="D18" s="12">
        <v>0.0</v>
      </c>
      <c r="E18" s="12">
        <v>0.0</v>
      </c>
      <c r="F18" s="13">
        <f>Assumptions!$B$56</f>
        <v>400</v>
      </c>
    </row>
    <row r="19" ht="16.5" customHeight="1">
      <c r="A19" s="5" t="s">
        <v>31</v>
      </c>
      <c r="B19" s="12">
        <v>0.0</v>
      </c>
      <c r="C19" s="13">
        <f t="shared" ref="C19:F19" si="1">SUM(C14:C18)</f>
        <v>500</v>
      </c>
      <c r="D19" s="13">
        <f t="shared" si="1"/>
        <v>1000</v>
      </c>
      <c r="E19" s="13">
        <f t="shared" si="1"/>
        <v>1200</v>
      </c>
      <c r="F19" s="13">
        <f t="shared" si="1"/>
        <v>1600</v>
      </c>
    </row>
    <row r="20" ht="16.5" customHeight="1">
      <c r="A20" s="6"/>
      <c r="B20" s="17"/>
      <c r="C20" s="17"/>
      <c r="D20" s="17"/>
      <c r="E20" s="17"/>
      <c r="F20" s="17"/>
    </row>
    <row r="21" ht="16.5" customHeight="1">
      <c r="A21" s="18" t="s">
        <v>32</v>
      </c>
      <c r="B21" s="19"/>
      <c r="C21" s="19"/>
      <c r="D21" s="19"/>
      <c r="E21" s="19"/>
      <c r="F21" s="20"/>
    </row>
    <row r="22" ht="16.5" customHeight="1">
      <c r="A22" s="5" t="s">
        <v>33</v>
      </c>
      <c r="B22" s="13">
        <f>Assumptions!$B$24</f>
        <v>120000</v>
      </c>
      <c r="C22" s="13">
        <f>Assumptions!$B$24</f>
        <v>120000</v>
      </c>
      <c r="D22" s="13">
        <f>Assumptions!$B$24</f>
        <v>120000</v>
      </c>
      <c r="E22" s="13">
        <f>Assumptions!$B$24</f>
        <v>120000</v>
      </c>
      <c r="F22" s="13">
        <f>Assumptions!$B$24</f>
        <v>120000</v>
      </c>
    </row>
    <row r="23" ht="16.5" customHeight="1">
      <c r="A23" s="5" t="s">
        <v>34</v>
      </c>
      <c r="B23" s="12">
        <v>0.0</v>
      </c>
      <c r="C23" s="12">
        <v>0.0</v>
      </c>
      <c r="D23" s="13">
        <f>Assumptions!$B$29</f>
        <v>0</v>
      </c>
      <c r="E23" s="13">
        <f>Assumptions!$B$29</f>
        <v>0</v>
      </c>
      <c r="F23" s="13">
        <f>Assumptions!$B$29</f>
        <v>0</v>
      </c>
    </row>
    <row r="24" ht="16.5" customHeight="1">
      <c r="A24" s="5" t="s">
        <v>35</v>
      </c>
      <c r="B24" s="12">
        <v>0.0</v>
      </c>
      <c r="C24" s="12">
        <v>0.0</v>
      </c>
      <c r="D24" s="13">
        <f>Assumptions!$B$31+Assumptions!$B$32</f>
        <v>0</v>
      </c>
      <c r="E24" s="13">
        <f>Assumptions!$B$31+Assumptions!$B$32</f>
        <v>0</v>
      </c>
      <c r="F24" s="13">
        <f>Assumptions!$B$31+Assumptions!$B$32</f>
        <v>0</v>
      </c>
    </row>
    <row r="25" ht="16.5" customHeight="1">
      <c r="A25" s="5" t="s">
        <v>36</v>
      </c>
      <c r="B25" s="12">
        <v>0.0</v>
      </c>
      <c r="C25" s="12">
        <v>0.0</v>
      </c>
      <c r="D25" s="13">
        <f>Assumptions!$B$42</f>
        <v>0</v>
      </c>
      <c r="E25" s="13">
        <f>Assumptions!$B$42</f>
        <v>0</v>
      </c>
      <c r="F25" s="13">
        <f>Assumptions!$B$42</f>
        <v>0</v>
      </c>
    </row>
    <row r="26" ht="16.5" customHeight="1">
      <c r="A26" s="5" t="s">
        <v>37</v>
      </c>
      <c r="B26" s="12">
        <v>0.0</v>
      </c>
      <c r="C26" s="12">
        <v>0.0</v>
      </c>
      <c r="D26" s="13">
        <f>Assumptions!$B$39</f>
        <v>0</v>
      </c>
      <c r="E26" s="13">
        <f>Assumptions!$B$39</f>
        <v>0</v>
      </c>
      <c r="F26" s="13">
        <f>Assumptions!$B$39</f>
        <v>0</v>
      </c>
    </row>
    <row r="27" ht="16.5" customHeight="1">
      <c r="A27" s="5" t="s">
        <v>38</v>
      </c>
      <c r="B27" s="12">
        <v>0.0</v>
      </c>
      <c r="C27" s="12">
        <v>0.0</v>
      </c>
      <c r="D27" s="12">
        <v>0.0</v>
      </c>
      <c r="E27" s="13">
        <f>Assumptions!$B$43</f>
        <v>0</v>
      </c>
      <c r="F27" s="12">
        <v>0.0</v>
      </c>
    </row>
    <row r="28" ht="16.5" customHeight="1">
      <c r="A28" s="5" t="s">
        <v>39</v>
      </c>
      <c r="B28" s="12">
        <v>0.0</v>
      </c>
      <c r="C28" s="12">
        <v>0.0</v>
      </c>
      <c r="D28" s="12">
        <v>0.0</v>
      </c>
      <c r="E28" s="12">
        <v>0.0</v>
      </c>
      <c r="F28" s="13">
        <f>Assumptions!$B$46</f>
        <v>0</v>
      </c>
    </row>
    <row r="29" ht="16.5" customHeight="1">
      <c r="A29" s="5" t="s">
        <v>40</v>
      </c>
      <c r="B29" s="21">
        <v>0.0</v>
      </c>
      <c r="C29" s="22">
        <f t="shared" ref="C29:F29" si="2">C19</f>
        <v>500</v>
      </c>
      <c r="D29" s="22">
        <f t="shared" si="2"/>
        <v>1000</v>
      </c>
      <c r="E29" s="22">
        <f t="shared" si="2"/>
        <v>1200</v>
      </c>
      <c r="F29" s="22">
        <f t="shared" si="2"/>
        <v>1600</v>
      </c>
    </row>
    <row r="30" ht="16.5" customHeight="1">
      <c r="A30" s="5" t="s">
        <v>41</v>
      </c>
      <c r="B30" s="22">
        <f t="shared" ref="B30:F30" si="3">SUM(B23:B29)</f>
        <v>0</v>
      </c>
      <c r="C30" s="22">
        <f t="shared" si="3"/>
        <v>500</v>
      </c>
      <c r="D30" s="22">
        <f t="shared" si="3"/>
        <v>1000</v>
      </c>
      <c r="E30" s="22">
        <f t="shared" si="3"/>
        <v>1200</v>
      </c>
      <c r="F30" s="22">
        <f t="shared" si="3"/>
        <v>1600</v>
      </c>
    </row>
    <row r="31" ht="16.5" customHeight="1">
      <c r="A31" s="11" t="s">
        <v>42</v>
      </c>
      <c r="B31" s="13">
        <f t="shared" ref="B31:F31" si="4">MAX(0,B22-B30)</f>
        <v>120000</v>
      </c>
      <c r="C31" s="13">
        <f t="shared" si="4"/>
        <v>119500</v>
      </c>
      <c r="D31" s="13">
        <f t="shared" si="4"/>
        <v>119000</v>
      </c>
      <c r="E31" s="13">
        <f t="shared" si="4"/>
        <v>118800</v>
      </c>
      <c r="F31" s="13">
        <f t="shared" si="4"/>
        <v>118400</v>
      </c>
    </row>
    <row r="32" ht="16.5" customHeight="1">
      <c r="A32" s="14" t="s">
        <v>43</v>
      </c>
      <c r="B32" s="23">
        <f>Assumptions!$B$15</f>
        <v>0.3</v>
      </c>
      <c r="C32" s="23">
        <f>Assumptions!$B$15</f>
        <v>0.3</v>
      </c>
      <c r="D32" s="23">
        <f>Assumptions!$B$15</f>
        <v>0.3</v>
      </c>
      <c r="E32" s="23">
        <f>Assumptions!$B$15</f>
        <v>0.3</v>
      </c>
      <c r="F32" s="24">
        <f>Assumptions!$B$16</f>
        <v>0.125</v>
      </c>
    </row>
    <row r="33" ht="16.5" customHeight="1">
      <c r="A33" s="5" t="s">
        <v>44</v>
      </c>
      <c r="B33" s="13">
        <f t="shared" ref="B33:F33" si="5">B31*B32</f>
        <v>36000</v>
      </c>
      <c r="C33" s="13">
        <f t="shared" si="5"/>
        <v>35850</v>
      </c>
      <c r="D33" s="13">
        <f t="shared" si="5"/>
        <v>35700</v>
      </c>
      <c r="E33" s="13">
        <f t="shared" si="5"/>
        <v>35640</v>
      </c>
      <c r="F33" s="13">
        <f t="shared" si="5"/>
        <v>14800</v>
      </c>
    </row>
    <row r="34" ht="16.5" customHeight="1">
      <c r="A34" s="5" t="s">
        <v>45</v>
      </c>
      <c r="B34" s="12">
        <v>0.0</v>
      </c>
      <c r="C34" s="13">
        <f t="shared" ref="C34:F34" si="6">$B$33-C33</f>
        <v>150</v>
      </c>
      <c r="D34" s="13">
        <f t="shared" si="6"/>
        <v>300</v>
      </c>
      <c r="E34" s="13">
        <f t="shared" si="6"/>
        <v>360</v>
      </c>
      <c r="F34" s="13">
        <f t="shared" si="6"/>
        <v>21200</v>
      </c>
    </row>
    <row r="35" ht="16.5" customHeight="1">
      <c r="A35" s="6"/>
      <c r="B35" s="13"/>
      <c r="C35" s="13"/>
      <c r="D35" s="13"/>
      <c r="E35" s="13"/>
      <c r="F35" s="13"/>
    </row>
    <row r="36" ht="16.5" customHeight="1">
      <c r="A36" s="18" t="s">
        <v>46</v>
      </c>
      <c r="B36" s="19"/>
      <c r="C36" s="19"/>
      <c r="D36" s="19"/>
      <c r="E36" s="19"/>
      <c r="F36" s="20"/>
    </row>
    <row r="37" ht="16.5" customHeight="1">
      <c r="A37" s="5" t="s">
        <v>47</v>
      </c>
      <c r="B37" s="12">
        <v>0.0</v>
      </c>
      <c r="C37" s="13">
        <f>C23*(1-Assumptions!$B$17*Assumptions!$B$30)</f>
        <v>0</v>
      </c>
      <c r="D37" s="13">
        <f>D23*(1-Assumptions!$B$17*Assumptions!$B$30)</f>
        <v>0</v>
      </c>
      <c r="E37" s="13">
        <f>E23*(1-Assumptions!$B$17*Assumptions!$B$30)</f>
        <v>0</v>
      </c>
      <c r="F37" s="13">
        <f>F23*(1-Assumptions!$B$17*Assumptions!$B$30)</f>
        <v>0</v>
      </c>
    </row>
    <row r="38" ht="16.5" customHeight="1">
      <c r="A38" s="25" t="s">
        <v>48</v>
      </c>
      <c r="B38" s="26">
        <v>0.0</v>
      </c>
      <c r="C38" s="27">
        <f t="shared" ref="C38:F38" si="7">C24</f>
        <v>0</v>
      </c>
      <c r="D38" s="27">
        <f t="shared" si="7"/>
        <v>0</v>
      </c>
      <c r="E38" s="27">
        <f t="shared" si="7"/>
        <v>0</v>
      </c>
      <c r="F38" s="27">
        <f t="shared" si="7"/>
        <v>0</v>
      </c>
    </row>
    <row r="39" ht="16.5" customHeight="1">
      <c r="A39" s="28" t="s">
        <v>49</v>
      </c>
      <c r="B39" s="29">
        <v>0.0</v>
      </c>
      <c r="C39" s="30">
        <f t="shared" ref="C39:F39" si="8">C25</f>
        <v>0</v>
      </c>
      <c r="D39" s="30">
        <f t="shared" si="8"/>
        <v>0</v>
      </c>
      <c r="E39" s="30">
        <f t="shared" si="8"/>
        <v>0</v>
      </c>
      <c r="F39" s="31">
        <f t="shared" si="8"/>
        <v>0</v>
      </c>
    </row>
    <row r="40" ht="21.0" customHeight="1">
      <c r="A40" s="32" t="s">
        <v>50</v>
      </c>
      <c r="B40" s="33">
        <v>0.0</v>
      </c>
      <c r="C40" s="34">
        <f t="shared" ref="C40:F40" si="9">C27</f>
        <v>0</v>
      </c>
      <c r="D40" s="34">
        <f t="shared" si="9"/>
        <v>0</v>
      </c>
      <c r="E40" s="34">
        <f t="shared" si="9"/>
        <v>0</v>
      </c>
      <c r="F40" s="35">
        <f t="shared" si="9"/>
        <v>0</v>
      </c>
    </row>
    <row r="41" ht="21.0" customHeight="1">
      <c r="A41" s="32" t="s">
        <v>51</v>
      </c>
      <c r="B41" s="33">
        <v>0.0</v>
      </c>
      <c r="C41" s="34">
        <f>C28*(1-Assumptions!$B$47)</f>
        <v>0</v>
      </c>
      <c r="D41" s="34">
        <f>D28*(1-Assumptions!$B$47)</f>
        <v>0</v>
      </c>
      <c r="E41" s="34">
        <f>E28*(1-Assumptions!$B$47)</f>
        <v>0</v>
      </c>
      <c r="F41" s="35">
        <f>F28*(1-Assumptions!$B$47)</f>
        <v>0</v>
      </c>
    </row>
    <row r="42" ht="21.0" customHeight="1">
      <c r="A42" s="36"/>
      <c r="B42" s="34"/>
      <c r="C42" s="34"/>
      <c r="D42" s="34"/>
      <c r="E42" s="34"/>
      <c r="F42" s="35"/>
    </row>
    <row r="43" ht="33.0" customHeight="1">
      <c r="A43" s="37" t="s">
        <v>52</v>
      </c>
      <c r="B43" s="38"/>
      <c r="C43" s="38"/>
      <c r="D43" s="38"/>
      <c r="E43" s="38"/>
      <c r="F43" s="39"/>
    </row>
    <row r="44" ht="16.5" customHeight="1">
      <c r="A44" s="11" t="s">
        <v>53</v>
      </c>
      <c r="B44" s="12">
        <v>0.0</v>
      </c>
      <c r="C44" s="13">
        <f t="shared" ref="C44:F44" si="10">C34+SUM(C37:C41)</f>
        <v>150</v>
      </c>
      <c r="D44" s="13">
        <f t="shared" si="10"/>
        <v>300</v>
      </c>
      <c r="E44" s="13">
        <f t="shared" si="10"/>
        <v>360</v>
      </c>
      <c r="F44" s="13">
        <f t="shared" si="10"/>
        <v>21200</v>
      </c>
    </row>
    <row r="45" ht="16.5" customHeight="1">
      <c r="A45" s="14" t="s">
        <v>54</v>
      </c>
      <c r="B45" s="15">
        <v>0.0</v>
      </c>
      <c r="C45" s="40">
        <f>Assumptions!$B$49</f>
        <v>0</v>
      </c>
      <c r="D45" s="40">
        <f>Assumptions!$B$49</f>
        <v>0</v>
      </c>
      <c r="E45" s="40">
        <f>Assumptions!$B$49</f>
        <v>0</v>
      </c>
      <c r="F45" s="16">
        <f>Assumptions!$B$49</f>
        <v>0</v>
      </c>
    </row>
    <row r="46" ht="16.5" customHeight="1">
      <c r="A46" s="41" t="s">
        <v>55</v>
      </c>
      <c r="B46" s="42">
        <v>0.0</v>
      </c>
      <c r="C46" s="43">
        <f t="shared" ref="C46:F46" si="11">C44+C45-C19</f>
        <v>-350</v>
      </c>
      <c r="D46" s="43">
        <f t="shared" si="11"/>
        <v>-700</v>
      </c>
      <c r="E46" s="43">
        <f t="shared" si="11"/>
        <v>-840</v>
      </c>
      <c r="F46" s="43">
        <f t="shared" si="11"/>
        <v>19600</v>
      </c>
    </row>
    <row r="47" ht="16.5" customHeight="1">
      <c r="A47" s="41" t="s">
        <v>56</v>
      </c>
      <c r="B47" s="43"/>
      <c r="C47" s="44">
        <f t="shared" ref="C47:F47" si="12">IF(C19&gt;0,C46/C19,0)</f>
        <v>-0.7</v>
      </c>
      <c r="D47" s="44">
        <f t="shared" si="12"/>
        <v>-0.7</v>
      </c>
      <c r="E47" s="44">
        <f t="shared" si="12"/>
        <v>-0.7</v>
      </c>
      <c r="F47" s="44">
        <f t="shared" si="12"/>
        <v>12.25</v>
      </c>
    </row>
    <row r="48" ht="16.5" customHeight="1">
      <c r="A48" s="41" t="s">
        <v>57</v>
      </c>
      <c r="B48" s="45" t="s">
        <v>58</v>
      </c>
      <c r="C48" s="45" t="s">
        <v>59</v>
      </c>
      <c r="D48" s="45" t="s">
        <v>60</v>
      </c>
      <c r="E48" s="45" t="s">
        <v>61</v>
      </c>
      <c r="F48" s="45" t="s">
        <v>62</v>
      </c>
    </row>
    <row r="49" ht="16.5" customHeight="1"/>
    <row r="50" ht="16.5" customHeight="1">
      <c r="A50" s="46" t="s">
        <v>63</v>
      </c>
    </row>
    <row r="51" ht="16.5" customHeight="1">
      <c r="A51" s="47" t="s">
        <v>64</v>
      </c>
      <c r="B51" s="48" t="b">
        <f t="shared" ref="B51:F51" si="13">B31&gt;=0</f>
        <v>1</v>
      </c>
      <c r="C51" s="48" t="b">
        <f t="shared" si="13"/>
        <v>1</v>
      </c>
      <c r="D51" s="48" t="b">
        <f t="shared" si="13"/>
        <v>1</v>
      </c>
      <c r="E51" s="48" t="b">
        <f t="shared" si="13"/>
        <v>1</v>
      </c>
      <c r="F51" s="48" t="b">
        <f t="shared" si="13"/>
        <v>1</v>
      </c>
    </row>
    <row r="52" ht="16.5" customHeight="1">
      <c r="A52" s="47" t="s">
        <v>65</v>
      </c>
      <c r="B52" s="47" t="s">
        <v>66</v>
      </c>
      <c r="C52" s="48" t="b">
        <f t="shared" ref="C52:F52" si="14">C46&gt;=0</f>
        <v>0</v>
      </c>
      <c r="D52" s="48" t="b">
        <f t="shared" si="14"/>
        <v>0</v>
      </c>
      <c r="E52" s="48" t="b">
        <f t="shared" si="14"/>
        <v>0</v>
      </c>
      <c r="F52" s="48" t="b">
        <f t="shared" si="14"/>
        <v>1</v>
      </c>
    </row>
    <row r="53" ht="16.5" customHeight="1">
      <c r="A53" s="47" t="s">
        <v>67</v>
      </c>
      <c r="B53" s="47" t="s">
        <v>3</v>
      </c>
      <c r="C53" s="47" t="s">
        <v>68</v>
      </c>
      <c r="D53" s="47" t="s">
        <v>69</v>
      </c>
      <c r="E53" s="47" t="s">
        <v>70</v>
      </c>
      <c r="F53" s="47" t="s">
        <v>71</v>
      </c>
    </row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A21:F21"/>
    <mergeCell ref="A36:F36"/>
    <mergeCell ref="A43:F43"/>
    <mergeCell ref="A50:F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98.0"/>
    <col customWidth="1" min="2" max="2" width="25.25"/>
    <col customWidth="1" min="3" max="3" width="13.38"/>
    <col customWidth="1" min="4" max="4" width="91.25"/>
    <col customWidth="1" min="5" max="26" width="8.63"/>
  </cols>
  <sheetData>
    <row r="1" ht="16.5" customHeight="1">
      <c r="A1" s="1" t="s">
        <v>72</v>
      </c>
    </row>
    <row r="2" ht="33.0" customHeight="1">
      <c r="A2" s="2" t="s">
        <v>73</v>
      </c>
    </row>
    <row r="3" ht="16.5" customHeight="1"/>
    <row r="4" ht="16.5" customHeight="1">
      <c r="A4" s="49" t="s">
        <v>74</v>
      </c>
      <c r="B4" s="50" t="s">
        <v>75</v>
      </c>
      <c r="C4" s="50" t="s">
        <v>76</v>
      </c>
      <c r="D4" s="51" t="s">
        <v>77</v>
      </c>
    </row>
    <row r="5" ht="16.5" customHeight="1">
      <c r="A5" s="52" t="s">
        <v>78</v>
      </c>
      <c r="B5" s="53"/>
      <c r="C5" s="54" t="s">
        <v>79</v>
      </c>
      <c r="D5" s="54" t="s">
        <v>80</v>
      </c>
    </row>
    <row r="6" ht="16.5" customHeight="1">
      <c r="A6" s="52" t="s">
        <v>81</v>
      </c>
      <c r="B6" s="53"/>
      <c r="C6" s="54" t="s">
        <v>79</v>
      </c>
      <c r="D6" s="54" t="s">
        <v>82</v>
      </c>
    </row>
    <row r="7" ht="16.5" customHeight="1">
      <c r="A7" s="52"/>
      <c r="B7" s="55"/>
      <c r="C7" s="54"/>
      <c r="D7" s="54"/>
    </row>
    <row r="8" ht="16.5" customHeight="1">
      <c r="A8" s="52" t="s">
        <v>83</v>
      </c>
      <c r="B8" s="56" t="s">
        <v>84</v>
      </c>
      <c r="C8" s="54" t="s">
        <v>85</v>
      </c>
      <c r="D8" s="54" t="s">
        <v>86</v>
      </c>
    </row>
    <row r="9" ht="16.5" customHeight="1">
      <c r="A9" s="52" t="s">
        <v>87</v>
      </c>
      <c r="B9" s="56">
        <v>1.0</v>
      </c>
      <c r="C9" s="54" t="s">
        <v>88</v>
      </c>
      <c r="D9" s="54" t="s">
        <v>89</v>
      </c>
    </row>
    <row r="10" ht="16.5" customHeight="1">
      <c r="A10" s="52" t="s">
        <v>90</v>
      </c>
      <c r="B10" s="56"/>
      <c r="C10" s="54" t="s">
        <v>79</v>
      </c>
      <c r="D10" s="54" t="s">
        <v>91</v>
      </c>
    </row>
    <row r="11" ht="16.5" customHeight="1">
      <c r="A11" s="52" t="s">
        <v>92</v>
      </c>
      <c r="B11" s="56" t="s">
        <v>15</v>
      </c>
      <c r="C11" s="54" t="s">
        <v>85</v>
      </c>
      <c r="D11" s="54" t="s">
        <v>93</v>
      </c>
    </row>
    <row r="12" ht="16.5" customHeight="1">
      <c r="A12" s="52"/>
      <c r="B12" s="57"/>
      <c r="C12" s="58"/>
      <c r="D12" s="58"/>
    </row>
    <row r="13" ht="16.5" customHeight="1">
      <c r="A13" s="18" t="s">
        <v>94</v>
      </c>
      <c r="B13" s="19"/>
      <c r="C13" s="19"/>
      <c r="D13" s="20"/>
    </row>
    <row r="14" ht="16.5" customHeight="1">
      <c r="A14" s="59" t="s">
        <v>95</v>
      </c>
      <c r="B14" s="60" t="s">
        <v>96</v>
      </c>
      <c r="C14" s="60" t="s">
        <v>79</v>
      </c>
      <c r="D14" s="61" t="s">
        <v>97</v>
      </c>
    </row>
    <row r="15" ht="16.5" customHeight="1">
      <c r="A15" s="52" t="s">
        <v>98</v>
      </c>
      <c r="B15" s="62">
        <v>0.3</v>
      </c>
      <c r="C15" s="54" t="s">
        <v>99</v>
      </c>
      <c r="D15" s="54" t="s">
        <v>100</v>
      </c>
    </row>
    <row r="16" ht="16.5" customHeight="1">
      <c r="A16" s="52" t="s">
        <v>101</v>
      </c>
      <c r="B16" s="62">
        <v>0.125</v>
      </c>
      <c r="C16" s="54" t="s">
        <v>102</v>
      </c>
      <c r="D16" s="54" t="s">
        <v>103</v>
      </c>
    </row>
    <row r="17" ht="16.5" customHeight="1">
      <c r="A17" s="52" t="s">
        <v>104</v>
      </c>
      <c r="B17" s="62">
        <v>0.42</v>
      </c>
      <c r="C17" s="54" t="s">
        <v>102</v>
      </c>
      <c r="D17" s="54" t="s">
        <v>105</v>
      </c>
    </row>
    <row r="18" ht="16.5" customHeight="1">
      <c r="A18" s="52"/>
      <c r="B18" s="63"/>
      <c r="C18" s="54"/>
      <c r="D18" s="54"/>
    </row>
    <row r="19" ht="16.5" customHeight="1">
      <c r="A19" s="18" t="s">
        <v>106</v>
      </c>
      <c r="B19" s="19"/>
      <c r="C19" s="19"/>
      <c r="D19" s="20"/>
    </row>
    <row r="20" ht="16.5" customHeight="1">
      <c r="A20" s="64" t="s">
        <v>107</v>
      </c>
      <c r="B20" s="65" t="s">
        <v>108</v>
      </c>
      <c r="C20" s="65" t="s">
        <v>79</v>
      </c>
      <c r="D20" s="66" t="s">
        <v>109</v>
      </c>
    </row>
    <row r="21" ht="16.5" customHeight="1">
      <c r="A21" s="52" t="s">
        <v>110</v>
      </c>
      <c r="B21" s="67">
        <v>180000.0</v>
      </c>
      <c r="C21" s="54" t="s">
        <v>111</v>
      </c>
      <c r="D21" s="54" t="s">
        <v>112</v>
      </c>
    </row>
    <row r="22" ht="16.5" customHeight="1">
      <c r="A22" s="59" t="s">
        <v>113</v>
      </c>
      <c r="B22" s="68">
        <v>60000.0</v>
      </c>
      <c r="C22" s="60" t="s">
        <v>111</v>
      </c>
      <c r="D22" s="61" t="s">
        <v>114</v>
      </c>
    </row>
    <row r="23" ht="16.5" customHeight="1">
      <c r="A23" s="52" t="s">
        <v>115</v>
      </c>
      <c r="B23" s="69" t="s">
        <v>18</v>
      </c>
      <c r="C23" s="54" t="s">
        <v>79</v>
      </c>
      <c r="D23" s="54" t="s">
        <v>116</v>
      </c>
    </row>
    <row r="24" ht="16.5" customHeight="1">
      <c r="A24" s="52" t="s">
        <v>117</v>
      </c>
      <c r="B24" s="70">
        <f>B21-B22</f>
        <v>120000</v>
      </c>
      <c r="C24" s="54" t="s">
        <v>111</v>
      </c>
      <c r="D24" s="54" t="s">
        <v>118</v>
      </c>
    </row>
    <row r="25" ht="16.5" customHeight="1">
      <c r="A25" s="52"/>
      <c r="B25" s="71"/>
      <c r="C25" s="54"/>
      <c r="D25" s="54"/>
    </row>
    <row r="26" ht="16.5" customHeight="1">
      <c r="A26" s="18" t="s">
        <v>119</v>
      </c>
      <c r="B26" s="19"/>
      <c r="C26" s="19"/>
      <c r="D26" s="20"/>
    </row>
    <row r="27" ht="16.5" customHeight="1">
      <c r="A27" s="64" t="s">
        <v>120</v>
      </c>
      <c r="B27" s="72" t="s">
        <v>121</v>
      </c>
      <c r="C27" s="65" t="s">
        <v>79</v>
      </c>
      <c r="D27" s="66" t="s">
        <v>122</v>
      </c>
    </row>
    <row r="28" ht="16.5" customHeight="1">
      <c r="A28" s="59" t="s">
        <v>123</v>
      </c>
      <c r="B28" s="68">
        <v>0.0</v>
      </c>
      <c r="C28" s="60" t="s">
        <v>111</v>
      </c>
      <c r="D28" s="61" t="s">
        <v>122</v>
      </c>
    </row>
    <row r="29" ht="30.0" customHeight="1">
      <c r="A29" s="52" t="s">
        <v>124</v>
      </c>
      <c r="B29" s="71">
        <f>B28</f>
        <v>0</v>
      </c>
      <c r="C29" s="54" t="s">
        <v>111</v>
      </c>
      <c r="D29" s="54" t="s">
        <v>125</v>
      </c>
    </row>
    <row r="30" ht="16.5" customHeight="1">
      <c r="A30" s="52" t="s">
        <v>126</v>
      </c>
      <c r="B30" s="62">
        <v>0.5</v>
      </c>
      <c r="C30" s="54" t="s">
        <v>102</v>
      </c>
      <c r="D30" s="54" t="s">
        <v>127</v>
      </c>
    </row>
    <row r="31" ht="16.5" customHeight="1">
      <c r="A31" s="52" t="s">
        <v>128</v>
      </c>
      <c r="B31" s="67">
        <v>0.0</v>
      </c>
      <c r="C31" s="54" t="s">
        <v>111</v>
      </c>
      <c r="D31" s="54" t="s">
        <v>129</v>
      </c>
    </row>
    <row r="32" ht="16.5" customHeight="1">
      <c r="A32" s="52" t="s">
        <v>130</v>
      </c>
      <c r="B32" s="67">
        <v>0.0</v>
      </c>
      <c r="C32" s="54" t="s">
        <v>111</v>
      </c>
      <c r="D32" s="54" t="s">
        <v>131</v>
      </c>
    </row>
    <row r="33" ht="16.5" customHeight="1">
      <c r="A33" s="52"/>
      <c r="B33" s="70"/>
      <c r="C33" s="54"/>
      <c r="D33" s="54"/>
    </row>
    <row r="34" ht="16.5" customHeight="1">
      <c r="A34" s="18" t="s">
        <v>132</v>
      </c>
      <c r="B34" s="19"/>
      <c r="C34" s="19"/>
      <c r="D34" s="20"/>
    </row>
    <row r="35" ht="16.5" customHeight="1">
      <c r="A35" s="59" t="s">
        <v>133</v>
      </c>
      <c r="B35" s="68">
        <v>0.0</v>
      </c>
      <c r="C35" s="60" t="s">
        <v>111</v>
      </c>
      <c r="D35" s="61" t="s">
        <v>134</v>
      </c>
    </row>
    <row r="36" ht="16.5" customHeight="1">
      <c r="A36" s="52" t="s">
        <v>135</v>
      </c>
      <c r="B36" s="73">
        <v>5.0</v>
      </c>
      <c r="C36" s="54" t="s">
        <v>136</v>
      </c>
      <c r="D36" s="54" t="s">
        <v>137</v>
      </c>
    </row>
    <row r="37" ht="16.5" customHeight="1">
      <c r="A37" s="52" t="s">
        <v>138</v>
      </c>
      <c r="B37" s="74">
        <v>0.8</v>
      </c>
      <c r="C37" s="54" t="s">
        <v>102</v>
      </c>
      <c r="D37" s="54" t="s">
        <v>139</v>
      </c>
    </row>
    <row r="38" ht="16.5" customHeight="1">
      <c r="A38" s="52" t="s">
        <v>140</v>
      </c>
      <c r="B38" s="70">
        <f>IF(B36&gt;0,B35/B36,0)</f>
        <v>0</v>
      </c>
      <c r="C38" s="54" t="s">
        <v>111</v>
      </c>
      <c r="D38" s="54" t="s">
        <v>141</v>
      </c>
    </row>
    <row r="39" ht="16.5" customHeight="1">
      <c r="A39" s="52" t="s">
        <v>142</v>
      </c>
      <c r="B39" s="70">
        <f>B38*B37</f>
        <v>0</v>
      </c>
      <c r="C39" s="54" t="s">
        <v>111</v>
      </c>
      <c r="D39" s="54" t="s">
        <v>125</v>
      </c>
    </row>
    <row r="40" ht="16.5" customHeight="1">
      <c r="A40" s="75"/>
      <c r="B40" s="71"/>
      <c r="C40" s="58"/>
      <c r="D40" s="58"/>
    </row>
    <row r="41" ht="16.5" customHeight="1">
      <c r="A41" s="49" t="s">
        <v>143</v>
      </c>
      <c r="B41" s="19"/>
      <c r="C41" s="19"/>
      <c r="D41" s="20"/>
    </row>
    <row r="42" ht="16.5" customHeight="1">
      <c r="A42" s="52" t="s">
        <v>36</v>
      </c>
      <c r="B42" s="67">
        <v>0.0</v>
      </c>
      <c r="C42" s="54" t="s">
        <v>111</v>
      </c>
      <c r="D42" s="54" t="s">
        <v>144</v>
      </c>
    </row>
    <row r="43" ht="16.5" customHeight="1">
      <c r="A43" s="52" t="s">
        <v>38</v>
      </c>
      <c r="B43" s="67">
        <v>0.0</v>
      </c>
      <c r="C43" s="54" t="s">
        <v>111</v>
      </c>
      <c r="D43" s="54" t="s">
        <v>145</v>
      </c>
    </row>
    <row r="44" ht="16.5" customHeight="1">
      <c r="A44" s="75"/>
      <c r="B44" s="71"/>
      <c r="C44" s="58"/>
      <c r="D44" s="58"/>
    </row>
    <row r="45" ht="16.5" customHeight="1">
      <c r="A45" s="49" t="s">
        <v>146</v>
      </c>
      <c r="B45" s="19"/>
      <c r="C45" s="19"/>
      <c r="D45" s="20"/>
    </row>
    <row r="46" ht="30.0" customHeight="1">
      <c r="A46" s="52" t="s">
        <v>147</v>
      </c>
      <c r="B46" s="67">
        <v>0.0</v>
      </c>
      <c r="C46" s="54" t="s">
        <v>111</v>
      </c>
      <c r="D46" s="54" t="s">
        <v>148</v>
      </c>
    </row>
    <row r="47" ht="16.5" customHeight="1">
      <c r="A47" s="52" t="s">
        <v>149</v>
      </c>
      <c r="B47" s="62">
        <v>0.2</v>
      </c>
      <c r="C47" s="54" t="s">
        <v>102</v>
      </c>
      <c r="D47" s="54" t="s">
        <v>150</v>
      </c>
    </row>
    <row r="48" ht="16.5" customHeight="1">
      <c r="A48" s="76"/>
      <c r="B48" s="77"/>
      <c r="C48" s="78"/>
      <c r="D48" s="78"/>
    </row>
    <row r="49" ht="16.5" customHeight="1">
      <c r="A49" s="79" t="s">
        <v>25</v>
      </c>
      <c r="B49" s="80">
        <v>0.0</v>
      </c>
      <c r="C49" s="81" t="s">
        <v>111</v>
      </c>
      <c r="D49" s="82" t="s">
        <v>151</v>
      </c>
    </row>
    <row r="50" ht="16.5" customHeight="1">
      <c r="A50" s="83" t="s">
        <v>152</v>
      </c>
      <c r="B50" s="70">
        <v>500.0</v>
      </c>
      <c r="C50" s="54" t="s">
        <v>111</v>
      </c>
      <c r="D50" s="84" t="s">
        <v>153</v>
      </c>
    </row>
    <row r="51" ht="16.5" customHeight="1">
      <c r="A51" s="83" t="s">
        <v>154</v>
      </c>
      <c r="B51" s="70">
        <v>1000.0</v>
      </c>
      <c r="C51" s="54" t="s">
        <v>111</v>
      </c>
      <c r="D51" s="84" t="s">
        <v>155</v>
      </c>
    </row>
    <row r="52" ht="16.5" customHeight="1">
      <c r="A52" s="83" t="s">
        <v>156</v>
      </c>
      <c r="B52" s="85">
        <v>3.0</v>
      </c>
      <c r="C52" s="54" t="s">
        <v>157</v>
      </c>
      <c r="D52" s="84" t="s">
        <v>158</v>
      </c>
    </row>
    <row r="53" ht="16.5" customHeight="1">
      <c r="A53" s="83" t="s">
        <v>159</v>
      </c>
      <c r="B53" s="70">
        <v>200.0</v>
      </c>
      <c r="C53" s="54" t="s">
        <v>111</v>
      </c>
      <c r="D53" s="84" t="s">
        <v>160</v>
      </c>
    </row>
    <row r="54" ht="16.5" customHeight="1">
      <c r="A54" s="83" t="s">
        <v>28</v>
      </c>
      <c r="B54" s="70">
        <v>200.0</v>
      </c>
      <c r="C54" s="54" t="s">
        <v>111</v>
      </c>
      <c r="D54" s="84" t="s">
        <v>161</v>
      </c>
    </row>
    <row r="55" ht="16.5" customHeight="1">
      <c r="A55" s="86" t="s">
        <v>29</v>
      </c>
      <c r="B55" s="87">
        <v>200.0</v>
      </c>
      <c r="C55" s="88" t="s">
        <v>111</v>
      </c>
      <c r="D55" s="89" t="s">
        <v>162</v>
      </c>
    </row>
    <row r="56" ht="16.5" customHeight="1">
      <c r="A56" s="52" t="s">
        <v>163</v>
      </c>
      <c r="B56" s="70">
        <v>400.0</v>
      </c>
      <c r="C56" s="54" t="s">
        <v>111</v>
      </c>
      <c r="D56" s="54" t="s">
        <v>164</v>
      </c>
    </row>
    <row r="57" ht="16.5" customHeight="1">
      <c r="A57" s="52"/>
      <c r="B57" s="70"/>
      <c r="C57" s="54"/>
      <c r="D57" s="54"/>
    </row>
    <row r="58" ht="16.5" customHeight="1">
      <c r="A58" s="59"/>
      <c r="B58" s="60"/>
      <c r="C58" s="60"/>
      <c r="D58" s="61"/>
    </row>
    <row r="59" ht="43.5" customHeight="1">
      <c r="A59" s="18" t="s">
        <v>165</v>
      </c>
      <c r="B59" s="19"/>
      <c r="C59" s="19"/>
      <c r="D59" s="20"/>
    </row>
    <row r="60" ht="43.5" customHeight="1">
      <c r="A60" s="52" t="s">
        <v>3</v>
      </c>
      <c r="B60" s="52">
        <v>0.0</v>
      </c>
      <c r="C60" s="52" t="s">
        <v>111</v>
      </c>
      <c r="D60" s="52" t="s">
        <v>166</v>
      </c>
    </row>
    <row r="61" ht="43.5" customHeight="1">
      <c r="A61" s="52" t="s">
        <v>4</v>
      </c>
      <c r="B61" s="52">
        <v>500.0</v>
      </c>
      <c r="C61" s="52" t="s">
        <v>111</v>
      </c>
      <c r="D61" s="52" t="s">
        <v>167</v>
      </c>
    </row>
    <row r="62" ht="43.5" customHeight="1">
      <c r="A62" s="52" t="s">
        <v>5</v>
      </c>
      <c r="B62" s="52" t="s">
        <v>168</v>
      </c>
      <c r="C62" s="52" t="s">
        <v>111</v>
      </c>
      <c r="D62" s="52" t="s">
        <v>169</v>
      </c>
    </row>
    <row r="63" ht="43.5" customHeight="1">
      <c r="A63" s="52" t="s">
        <v>6</v>
      </c>
      <c r="B63" s="52" t="s">
        <v>170</v>
      </c>
      <c r="C63" s="52" t="s">
        <v>111</v>
      </c>
      <c r="D63" s="52" t="s">
        <v>171</v>
      </c>
    </row>
    <row r="64" ht="16.5" customHeight="1">
      <c r="A64" s="52" t="s">
        <v>7</v>
      </c>
      <c r="B64" s="55" t="s">
        <v>172</v>
      </c>
      <c r="C64" s="54" t="s">
        <v>111</v>
      </c>
      <c r="D64" s="54" t="s">
        <v>173</v>
      </c>
    </row>
    <row r="65" ht="16.5" customHeight="1">
      <c r="A65" s="75"/>
      <c r="B65" s="57"/>
      <c r="C65" s="58"/>
      <c r="D65" s="58"/>
    </row>
    <row r="66" ht="16.5" customHeight="1">
      <c r="A66" s="90"/>
      <c r="B66" s="91"/>
      <c r="C66" s="91"/>
      <c r="D66" s="92"/>
    </row>
    <row r="67" ht="51.0" customHeight="1">
      <c r="A67" s="93"/>
      <c r="B67" s="94"/>
      <c r="C67" s="95"/>
      <c r="D67" s="95"/>
    </row>
    <row r="68" ht="51.0" customHeight="1">
      <c r="A68" s="93"/>
      <c r="B68" s="94"/>
      <c r="C68" s="95"/>
      <c r="D68" s="95"/>
    </row>
    <row r="69" ht="51.0" customHeight="1">
      <c r="A69" s="93"/>
      <c r="B69" s="94"/>
      <c r="C69" s="95"/>
      <c r="D69" s="95"/>
    </row>
    <row r="70" ht="51.0" customHeight="1">
      <c r="A70" s="93"/>
      <c r="B70" s="94"/>
      <c r="C70" s="95"/>
      <c r="D70" s="95"/>
    </row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5:D45"/>
    <mergeCell ref="A59:D59"/>
    <mergeCell ref="A1:D1"/>
    <mergeCell ref="A2:D2"/>
    <mergeCell ref="A13:D13"/>
    <mergeCell ref="A19:D19"/>
    <mergeCell ref="A26:D26"/>
    <mergeCell ref="A34:D34"/>
    <mergeCell ref="A41:D41"/>
  </mergeCells>
  <dataValidations>
    <dataValidation type="list" allowBlank="1" showErrorMessage="1" sqref="B11">
      <formula1>"DE,IE"</formula1>
    </dataValidation>
    <dataValidation type="list" allowBlank="1" showErrorMessage="1" sqref="B8">
      <formula1>"Client choice pending,Option 1 - Basic operating entity,Option 2 - Full optimisation,Option 3 - Pension reserve,Option 4 - IE tax residence"</formula1>
    </dataValidation>
    <dataValidation type="list" allowBlank="1" showErrorMessage="1" sqref="B23">
      <formula1>"No,Yes"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3.88"/>
    <col customWidth="1" min="2" max="2" width="73.75"/>
    <col customWidth="1" min="3" max="11" width="7.63"/>
    <col customWidth="1" min="12" max="26" width="8.63"/>
  </cols>
  <sheetData>
    <row r="1" ht="16.5" customHeight="1">
      <c r="A1" s="1" t="s">
        <v>174</v>
      </c>
    </row>
    <row r="2" ht="31.5" customHeight="1">
      <c r="A2" s="2" t="s">
        <v>175</v>
      </c>
    </row>
    <row r="3" ht="16.5" customHeight="1">
      <c r="A3" s="96" t="s">
        <v>176</v>
      </c>
      <c r="B3" s="97" t="str">
        <f>Assumptions!$B$8</f>
        <v>Client choice pending</v>
      </c>
    </row>
    <row r="4" ht="16.5" customHeight="1">
      <c r="A4" s="96" t="s">
        <v>177</v>
      </c>
      <c r="B4" s="22" t="str">
        <f t="array" ref="B4">IFERROR(INDEX('Savings comparison'!$C$46:$F$46,1,MATCH($B$3,'Savings comparison'!$C$4:$F$4,0)),"")</f>
        <v/>
      </c>
    </row>
    <row r="5" ht="16.5" customHeight="1"/>
    <row r="6" ht="16.5" customHeight="1">
      <c r="A6" s="3" t="s">
        <v>178</v>
      </c>
      <c r="B6" s="3" t="s">
        <v>179</v>
      </c>
      <c r="C6" s="3" t="s">
        <v>180</v>
      </c>
      <c r="D6" s="3" t="s">
        <v>181</v>
      </c>
      <c r="E6" s="3" t="s">
        <v>182</v>
      </c>
      <c r="F6" s="3" t="s">
        <v>183</v>
      </c>
      <c r="G6" s="3" t="s">
        <v>184</v>
      </c>
      <c r="H6" s="3" t="s">
        <v>185</v>
      </c>
      <c r="I6" s="3" t="s">
        <v>186</v>
      </c>
      <c r="J6" s="3" t="s">
        <v>187</v>
      </c>
      <c r="K6" s="3" t="s">
        <v>188</v>
      </c>
      <c r="L6" s="3" t="s">
        <v>189</v>
      </c>
      <c r="M6" s="3" t="s">
        <v>190</v>
      </c>
      <c r="N6" s="3" t="s">
        <v>191</v>
      </c>
    </row>
    <row r="7" ht="16.5" customHeight="1">
      <c r="A7" s="11" t="s">
        <v>192</v>
      </c>
      <c r="B7" s="11" t="s">
        <v>193</v>
      </c>
      <c r="C7" s="13">
        <f t="array" ref="C7:N7">Assumptions!$B$21/12+COLUMN(C6:N6)*0</f>
        <v>15000</v>
      </c>
      <c r="D7" s="13">
        <v>15000.0</v>
      </c>
      <c r="E7" s="13">
        <v>15000.0</v>
      </c>
      <c r="F7" s="13">
        <v>15000.0</v>
      </c>
      <c r="G7" s="13">
        <v>15000.0</v>
      </c>
      <c r="H7" s="13">
        <v>15000.0</v>
      </c>
      <c r="I7" s="13">
        <v>15000.0</v>
      </c>
      <c r="J7" s="13">
        <v>15000.0</v>
      </c>
      <c r="K7" s="13">
        <v>15000.0</v>
      </c>
      <c r="L7" s="13">
        <v>15000.0</v>
      </c>
      <c r="M7" s="13">
        <v>15000.0</v>
      </c>
      <c r="N7" s="13">
        <v>15000.0</v>
      </c>
    </row>
    <row r="8" ht="16.5" customHeight="1">
      <c r="A8" s="98" t="s">
        <v>194</v>
      </c>
      <c r="B8" s="99" t="s">
        <v>195</v>
      </c>
      <c r="C8" s="100">
        <f t="array" ref="C8:N8">Assumptions!$B$22/12+COLUMN(C6:N6)*0</f>
        <v>5000</v>
      </c>
      <c r="D8" s="100">
        <v>5000.0</v>
      </c>
      <c r="E8" s="100">
        <v>5000.0</v>
      </c>
      <c r="F8" s="100">
        <v>5000.0</v>
      </c>
      <c r="G8" s="100">
        <v>5000.0</v>
      </c>
      <c r="H8" s="100">
        <v>5000.0</v>
      </c>
      <c r="I8" s="100">
        <v>5000.0</v>
      </c>
      <c r="J8" s="100">
        <v>5000.0</v>
      </c>
      <c r="K8" s="100">
        <v>5000.0</v>
      </c>
      <c r="L8" s="100">
        <v>5000.0</v>
      </c>
      <c r="M8" s="100">
        <v>5000.0</v>
      </c>
      <c r="N8" s="100">
        <v>5000.0</v>
      </c>
    </row>
    <row r="9" ht="16.5" customHeight="1">
      <c r="A9" s="11" t="s">
        <v>196</v>
      </c>
      <c r="B9" s="101" t="s">
        <v>197</v>
      </c>
      <c r="C9" s="13">
        <f t="array" ref="C9:N9">Assumptions!$B$49/12+COLUMN(C6:N6)*0</f>
        <v>0</v>
      </c>
      <c r="D9" s="13">
        <v>0.0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</row>
    <row r="10" ht="16.5" customHeight="1">
      <c r="A10" s="98" t="s">
        <v>198</v>
      </c>
      <c r="B10" s="99" t="s">
        <v>176</v>
      </c>
      <c r="C10" s="100" t="str">
        <f t="array" ref="C10:N10">IFERROR(INDEX('Savings comparison'!$C$23:$F$23,1,MATCH($B$3,'Savings comparison'!$C$4:$F$4,0))/12+COLUMN(C6:N6)*0,"")</f>
        <v/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</row>
    <row r="11" ht="16.5" customHeight="1">
      <c r="A11" s="11" t="s">
        <v>199</v>
      </c>
      <c r="B11" s="101" t="s">
        <v>176</v>
      </c>
      <c r="C11" s="13" t="str">
        <f t="array" ref="C11:N11">IFERROR(INDEX('Savings comparison'!$C$24:$F$24,1,MATCH($B$3,'Savings comparison'!$C$4:$F$4,0))/12+COLUMN(C6:N6)*0,"")</f>
        <v/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ht="16.5" customHeight="1">
      <c r="A12" s="11" t="s">
        <v>200</v>
      </c>
      <c r="B12" s="101" t="s">
        <v>176</v>
      </c>
      <c r="C12" s="13" t="str">
        <f t="array" ref="C12:N12">IFERROR(INDEX('Savings comparison'!$C$26:$F$26,1,MATCH($B$3,'Savings comparison'!$C$4:$F$4,0))/12+COLUMN(C6:N6)*0,"")</f>
        <v/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ht="16.5" customHeight="1">
      <c r="A13" s="11" t="s">
        <v>38</v>
      </c>
      <c r="B13" s="101" t="s">
        <v>176</v>
      </c>
      <c r="C13" s="13" t="str">
        <f t="array" ref="C13:N13">IFERROR(INDEX('Savings comparison'!$C$27:$F$27,1,MATCH($B$3,'Savings comparison'!$C$4:$F$4,0))/12+COLUMN(C6:N6)*0,"")</f>
        <v/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ht="16.5" customHeight="1">
      <c r="A14" s="11" t="s">
        <v>201</v>
      </c>
      <c r="B14" s="101" t="s">
        <v>176</v>
      </c>
      <c r="C14" s="13" t="str">
        <f t="array" ref="C14:N14">IFERROR(INDEX('Savings comparison'!$C$28:$F$28,1,MATCH($B$3,'Savings comparison'!$C$4:$F$4,0))/12+COLUMN(C6:N6)*0,"")</f>
        <v/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ht="16.5" customHeight="1">
      <c r="A15" s="11" t="s">
        <v>202</v>
      </c>
      <c r="B15" s="101" t="s">
        <v>176</v>
      </c>
      <c r="C15" s="13" t="str">
        <f t="array" ref="C15:N15">IFERROR(INDEX('Savings comparison'!$C$19:$F$19,1,MATCH($B$3,'Savings comparison'!$C$4:$F$4,0))/12+COLUMN(C6:N6)*0,"")</f>
        <v/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ht="16.5" customHeight="1">
      <c r="A16" s="102"/>
      <c r="B16" s="17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ht="16.5" customHeight="1">
      <c r="A17" s="11" t="s">
        <v>203</v>
      </c>
      <c r="B17" s="101" t="s">
        <v>204</v>
      </c>
      <c r="C17" s="13">
        <f t="array" ref="C17">IF(COUNTIF('Savings comparison'!$C$4:$F$4,$B$3)=0,0,C8:N8-C9:N9-C11:N11-C12:N12-C13:N13-C14:N14-C15:N15-C16:N16+C10:N10)</f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ht="16.5" customHeight="1">
      <c r="A18" s="96" t="s">
        <v>205</v>
      </c>
      <c r="B18" s="103" t="s">
        <v>206</v>
      </c>
      <c r="C18" s="22">
        <f t="array" ref="C18">IF(COUNTIF('Savings comparison'!$C$4:$F$4,$B$3)=0,0,IF(C17:N17&gt;0,C17:N17*INDEX('Savings comparison'!$C$32:$F$32,1,MATCH($B$3,'Savings comparison'!$C$4:$F$4,0)),0))</f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ht="16.5" customHeight="1">
      <c r="A19" s="96" t="s">
        <v>207</v>
      </c>
      <c r="B19" s="103" t="s">
        <v>204</v>
      </c>
      <c r="C19" s="22">
        <f t="array" ref="C19">IF(COUNTIF('Savings comparison'!$C$4:$F$4,$B$3)=0,0,C17:N17-C18:N18)</f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ht="16.5" customHeight="1">
      <c r="A20" s="97"/>
      <c r="B20" s="104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ht="16.5" customHeight="1">
      <c r="A21" s="96" t="s">
        <v>77</v>
      </c>
      <c r="B21" s="103" t="s">
        <v>208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</row>
    <row r="22" ht="16.5" customHeight="1">
      <c r="A22" s="97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</row>
    <row r="23" ht="16.5" customHeight="1">
      <c r="A23" s="97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ErrorMessage="1" sqref="B3">
      <formula1>"Client choice pending,Option 1 - Basic operating entity,Option 2 - Full optimisation,Option 3 - Pension reserve,Option 4 - IE tax residence"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33.88"/>
    <col customWidth="1" min="2" max="5" width="15.13"/>
    <col customWidth="1" min="6" max="7" width="15.75"/>
    <col customWidth="1" min="8" max="8" width="14.5"/>
    <col customWidth="1" min="9" max="9" width="30.75"/>
    <col customWidth="1" min="10" max="10" width="45.13"/>
    <col customWidth="1" min="11" max="11" width="57.63"/>
  </cols>
  <sheetData>
    <row r="1" ht="27.0" customHeight="1">
      <c r="A1" s="105" t="s">
        <v>209</v>
      </c>
    </row>
    <row r="2">
      <c r="A2" s="106" t="s">
        <v>210</v>
      </c>
      <c r="B2" s="107">
        <f>'Savings comparison'!C19</f>
        <v>500</v>
      </c>
      <c r="C2" s="107">
        <f>'Savings comparison'!D19</f>
        <v>1000</v>
      </c>
      <c r="D2" s="107">
        <f>'Savings comparison'!E19</f>
        <v>1200</v>
      </c>
      <c r="E2" s="107">
        <f>'Savings comparison'!F19</f>
        <v>1600</v>
      </c>
      <c r="F2" s="108"/>
      <c r="G2" s="108"/>
      <c r="H2" s="108"/>
      <c r="I2" s="108"/>
      <c r="J2" s="108"/>
      <c r="K2" s="108"/>
    </row>
    <row r="3">
      <c r="A3" s="106" t="s">
        <v>211</v>
      </c>
      <c r="B3" s="107">
        <f t="shared" ref="B3:E3" si="1">SUMIF(B8:B39,TRUE,$F$8:$F$39)</f>
        <v>9511</v>
      </c>
      <c r="C3" s="107">
        <f t="shared" si="1"/>
        <v>17016</v>
      </c>
      <c r="D3" s="107">
        <f t="shared" si="1"/>
        <v>17516</v>
      </c>
      <c r="E3" s="107">
        <f t="shared" si="1"/>
        <v>21016</v>
      </c>
      <c r="F3" s="108"/>
      <c r="G3" s="108"/>
      <c r="H3" s="108"/>
      <c r="I3" s="108"/>
      <c r="J3" s="108"/>
      <c r="K3" s="108"/>
    </row>
    <row r="4">
      <c r="A4" s="106" t="s">
        <v>212</v>
      </c>
      <c r="B4" s="109">
        <f t="shared" ref="B4:E4" si="2">SUMIF(B8:B39,TRUE,$G$8:$G$39)</f>
        <v>17005</v>
      </c>
      <c r="C4" s="109">
        <f t="shared" si="2"/>
        <v>31968</v>
      </c>
      <c r="D4" s="109">
        <f t="shared" si="2"/>
        <v>32968</v>
      </c>
      <c r="E4" s="109">
        <f t="shared" si="2"/>
        <v>39968</v>
      </c>
      <c r="F4" s="110"/>
      <c r="G4" s="110"/>
      <c r="H4" s="110"/>
      <c r="I4" s="110"/>
      <c r="J4" s="110"/>
      <c r="K4" s="110"/>
    </row>
    <row r="5">
      <c r="A5" s="111" t="s">
        <v>213</v>
      </c>
    </row>
    <row r="6" ht="42.0" customHeigh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</row>
    <row r="7" ht="37.5" customHeight="1">
      <c r="A7" s="115" t="s">
        <v>214</v>
      </c>
      <c r="B7" s="116" t="s">
        <v>4</v>
      </c>
      <c r="C7" s="116" t="s">
        <v>5</v>
      </c>
      <c r="D7" s="116" t="s">
        <v>6</v>
      </c>
      <c r="E7" s="116" t="s">
        <v>7</v>
      </c>
      <c r="F7" s="117" t="s">
        <v>215</v>
      </c>
      <c r="G7" s="116" t="s">
        <v>216</v>
      </c>
      <c r="H7" s="116" t="s">
        <v>217</v>
      </c>
      <c r="I7" s="116" t="s">
        <v>218</v>
      </c>
      <c r="J7" s="116" t="s">
        <v>219</v>
      </c>
      <c r="K7" s="118" t="s">
        <v>220</v>
      </c>
    </row>
    <row r="8" ht="31.5" customHeight="1">
      <c r="A8" s="119" t="s">
        <v>221</v>
      </c>
      <c r="B8" s="120" t="b">
        <v>1</v>
      </c>
      <c r="C8" s="120" t="b">
        <v>1</v>
      </c>
      <c r="D8" s="120" t="b">
        <v>1</v>
      </c>
      <c r="E8" s="120" t="b">
        <v>1</v>
      </c>
      <c r="F8" s="121">
        <v>824.0</v>
      </c>
      <c r="G8" s="122">
        <v>1223.0</v>
      </c>
      <c r="H8" s="123" t="s">
        <v>222</v>
      </c>
      <c r="I8" s="124" t="s">
        <v>223</v>
      </c>
      <c r="J8" s="125" t="str">
        <f>HYPERLINK("https://www.firma.de/beratung-steuerberater/","firma.de tax-advice benchmark plus professional-support estimate")</f>
        <v>firma.de tax-advice benchmark plus professional-support estimate</v>
      </c>
      <c r="K8" s="126" t="s">
        <v>224</v>
      </c>
    </row>
    <row r="9" ht="31.5" customHeight="1">
      <c r="A9" s="119" t="s">
        <v>225</v>
      </c>
      <c r="B9" s="120" t="b">
        <v>1</v>
      </c>
      <c r="C9" s="120" t="b">
        <v>1</v>
      </c>
      <c r="D9" s="120" t="b">
        <v>1</v>
      </c>
      <c r="E9" s="120" t="b">
        <v>1</v>
      </c>
      <c r="F9" s="121">
        <v>900.0</v>
      </c>
      <c r="G9" s="122">
        <v>1500.0</v>
      </c>
      <c r="H9" s="123" t="s">
        <v>222</v>
      </c>
      <c r="I9" s="124" t="s">
        <v>226</v>
      </c>
      <c r="J9" s="125" t="str">
        <f>HYPERLINK("https://www.firma.de/satzung/","firma.de company-document benchmark plus incorporation support estimate")</f>
        <v>firma.de company-document benchmark plus incorporation support estimate</v>
      </c>
      <c r="K9" s="126" t="s">
        <v>227</v>
      </c>
    </row>
    <row r="10" ht="31.5" customHeight="1">
      <c r="A10" s="119" t="s">
        <v>228</v>
      </c>
      <c r="B10" s="120" t="b">
        <v>1</v>
      </c>
      <c r="C10" s="120" t="b">
        <v>1</v>
      </c>
      <c r="D10" s="120" t="b">
        <v>1</v>
      </c>
      <c r="E10" s="120" t="b">
        <v>1</v>
      </c>
      <c r="F10" s="121">
        <v>300.0</v>
      </c>
      <c r="G10" s="122">
        <v>600.0</v>
      </c>
      <c r="H10" s="123" t="s">
        <v>222</v>
      </c>
      <c r="I10" s="124" t="s">
        <v>229</v>
      </c>
      <c r="J10" s="125" t="str">
        <f>HYPERLINK("https://www.gesetze-im-internet.de/stbgebv/BJNR014420981.html","StBVV-style time-fee benchmark for document intake and admin support")</f>
        <v>StBVV-style time-fee benchmark for document intake and admin support</v>
      </c>
      <c r="K10" s="126" t="s">
        <v>230</v>
      </c>
    </row>
    <row r="11" ht="31.5" customHeight="1">
      <c r="A11" s="119" t="s">
        <v>231</v>
      </c>
      <c r="B11" s="120" t="b">
        <v>1</v>
      </c>
      <c r="C11" s="120" t="b">
        <v>1</v>
      </c>
      <c r="D11" s="120" t="b">
        <v>1</v>
      </c>
      <c r="E11" s="120" t="b">
        <v>1</v>
      </c>
      <c r="F11" s="121">
        <v>1368.0</v>
      </c>
      <c r="G11" s="122">
        <v>2208.0</v>
      </c>
      <c r="H11" s="123" t="s">
        <v>232</v>
      </c>
      <c r="I11" s="124" t="s">
        <v>233</v>
      </c>
      <c r="J11" s="125" t="str">
        <f>HYPERLINK("https://www.firma.de/buchhaltung/","firma.de bookkeeping package prices including DATEV software add-on")</f>
        <v>firma.de bookkeeping package prices including DATEV software add-on</v>
      </c>
      <c r="K11" s="126" t="s">
        <v>234</v>
      </c>
    </row>
    <row r="12" ht="31.5" customHeight="1">
      <c r="A12" s="119" t="s">
        <v>235</v>
      </c>
      <c r="B12" s="120" t="b">
        <v>1</v>
      </c>
      <c r="C12" s="120" t="b">
        <v>1</v>
      </c>
      <c r="D12" s="120" t="b">
        <v>1</v>
      </c>
      <c r="E12" s="120" t="b">
        <v>1</v>
      </c>
      <c r="F12" s="121">
        <v>300.0</v>
      </c>
      <c r="G12" s="122">
        <v>600.0</v>
      </c>
      <c r="H12" s="123" t="s">
        <v>236</v>
      </c>
      <c r="I12" s="124" t="s">
        <v>237</v>
      </c>
      <c r="J12" s="125" t="str">
        <f>HYPERLINK("https://www.lexware.de/preise/","Lexware Office software prices used where a tool cost is needed")</f>
        <v>Lexware Office software prices used where a tool cost is needed</v>
      </c>
      <c r="K12" s="126" t="s">
        <v>238</v>
      </c>
    </row>
    <row r="13" ht="31.5" customHeight="1">
      <c r="A13" s="119" t="s">
        <v>239</v>
      </c>
      <c r="B13" s="120" t="b">
        <v>1</v>
      </c>
      <c r="C13" s="120" t="b">
        <v>1</v>
      </c>
      <c r="D13" s="120" t="b">
        <v>1</v>
      </c>
      <c r="E13" s="120" t="b">
        <v>1</v>
      </c>
      <c r="F13" s="121">
        <v>600.0</v>
      </c>
      <c r="G13" s="122">
        <v>1200.0</v>
      </c>
      <c r="H13" s="123" t="s">
        <v>232</v>
      </c>
      <c r="I13" s="124" t="s">
        <v>240</v>
      </c>
      <c r="J13" s="125" t="str">
        <f>HYPERLINK("https://www.lexware.de/preise/","Lexware VAT filing and software-pricing reference for tool costs")</f>
        <v>Lexware VAT filing and software-pricing reference for tool costs</v>
      </c>
      <c r="K13" s="126" t="s">
        <v>241</v>
      </c>
    </row>
    <row r="14" ht="31.5" customHeight="1">
      <c r="A14" s="119" t="s">
        <v>242</v>
      </c>
      <c r="B14" s="120" t="b">
        <v>1</v>
      </c>
      <c r="C14" s="120" t="b">
        <v>1</v>
      </c>
      <c r="D14" s="120" t="b">
        <v>1</v>
      </c>
      <c r="E14" s="120" t="b">
        <v>1</v>
      </c>
      <c r="F14" s="121">
        <v>1348.0</v>
      </c>
      <c r="G14" s="122">
        <v>2048.0</v>
      </c>
      <c r="H14" s="123" t="s">
        <v>232</v>
      </c>
      <c r="I14" s="124" t="s">
        <v>243</v>
      </c>
      <c r="J14" s="125" t="str">
        <f>HYPERLINK("https://www.firma.de/jahresabschluss-kapitalgesellschaft/","firma.de annual accounts prices plus disclosure filing add-on")</f>
        <v>firma.de annual accounts prices plus disclosure filing add-on</v>
      </c>
      <c r="K14" s="126" t="s">
        <v>244</v>
      </c>
    </row>
    <row r="15" ht="31.5" customHeight="1">
      <c r="A15" s="119" t="s">
        <v>245</v>
      </c>
      <c r="B15" s="120" t="b">
        <v>1</v>
      </c>
      <c r="C15" s="120" t="b">
        <v>1</v>
      </c>
      <c r="D15" s="120" t="b">
        <v>1</v>
      </c>
      <c r="E15" s="120" t="b">
        <v>1</v>
      </c>
      <c r="F15" s="121">
        <v>240.0</v>
      </c>
      <c r="G15" s="122">
        <v>395.0</v>
      </c>
      <c r="H15" s="123" t="s">
        <v>232</v>
      </c>
      <c r="I15" s="124" t="s">
        <v>246</v>
      </c>
      <c r="J15" s="125" t="str">
        <f>HYPERLINK("https://www.firma.de/lohnabrechnung/","firma.de payroll benchmark; mid estimate also includes payroll tool cost")</f>
        <v>firma.de payroll benchmark; mid estimate also includes payroll tool cost</v>
      </c>
      <c r="K15" s="126" t="s">
        <v>247</v>
      </c>
    </row>
    <row r="16" ht="31.5" customHeight="1">
      <c r="A16" s="119" t="s">
        <v>248</v>
      </c>
      <c r="B16" s="120" t="b">
        <v>1</v>
      </c>
      <c r="C16" s="120" t="b">
        <v>1</v>
      </c>
      <c r="D16" s="120" t="b">
        <v>1</v>
      </c>
      <c r="E16" s="120" t="b">
        <v>1</v>
      </c>
      <c r="F16" s="121">
        <v>500.0</v>
      </c>
      <c r="G16" s="122">
        <v>1000.0</v>
      </c>
      <c r="H16" s="123" t="s">
        <v>249</v>
      </c>
      <c r="I16" s="124" t="s">
        <v>250</v>
      </c>
      <c r="J16" s="125" t="str">
        <f>HYPERLINK("https://www.lexware.de/preise/","Lexware payroll filing/tool reference plus setup-support estimate")</f>
        <v>Lexware payroll filing/tool reference plus setup-support estimate</v>
      </c>
      <c r="K16" s="126" t="s">
        <v>251</v>
      </c>
    </row>
    <row r="17" ht="31.5" customHeight="1">
      <c r="A17" s="119" t="s">
        <v>252</v>
      </c>
      <c r="B17" s="120" t="b">
        <v>0</v>
      </c>
      <c r="C17" s="120" t="b">
        <v>1</v>
      </c>
      <c r="D17" s="120" t="b">
        <v>1</v>
      </c>
      <c r="E17" s="120" t="b">
        <v>1</v>
      </c>
      <c r="F17" s="121">
        <v>1200.0</v>
      </c>
      <c r="G17" s="122">
        <v>2400.0</v>
      </c>
      <c r="H17" s="123" t="s">
        <v>253</v>
      </c>
      <c r="I17" s="124" t="s">
        <v>254</v>
      </c>
      <c r="J17" s="125" t="str">
        <f>HYPERLINK("https://www.gesetze-im-internet.de/stbgebv/BJNR014420981.html","Professional time-fee benchmark for rent analysis, contract and recurring payment work")</f>
        <v>Professional time-fee benchmark for rent analysis, contract and recurring payment work</v>
      </c>
      <c r="K17" s="126" t="s">
        <v>255</v>
      </c>
    </row>
    <row r="18" ht="31.5" customHeight="1">
      <c r="A18" s="119" t="s">
        <v>256</v>
      </c>
      <c r="B18" s="120" t="b">
        <v>0</v>
      </c>
      <c r="C18" s="120" t="b">
        <v>1</v>
      </c>
      <c r="D18" s="120" t="b">
        <v>1</v>
      </c>
      <c r="E18" s="120" t="b">
        <v>1</v>
      </c>
      <c r="F18" s="121">
        <v>900.0</v>
      </c>
      <c r="G18" s="122">
        <v>1800.0</v>
      </c>
      <c r="H18" s="123" t="s">
        <v>253</v>
      </c>
      <c r="I18" s="124" t="s">
        <v>257</v>
      </c>
      <c r="J18" s="125" t="str">
        <f>HYPERLINK("https://www.gesetze-im-internet.de/stbgebv/BJNR014420981.html","Professional time-fee benchmark for recurring expense and travel-support work")</f>
        <v>Professional time-fee benchmark for recurring expense and travel-support work</v>
      </c>
      <c r="K18" s="126" t="s">
        <v>258</v>
      </c>
    </row>
    <row r="19" ht="31.5" customHeight="1">
      <c r="A19" s="119" t="s">
        <v>259</v>
      </c>
      <c r="B19" s="120" t="b">
        <v>0</v>
      </c>
      <c r="C19" s="120" t="b">
        <v>1</v>
      </c>
      <c r="D19" s="120" t="b">
        <v>1</v>
      </c>
      <c r="E19" s="120" t="b">
        <v>1</v>
      </c>
      <c r="F19" s="121">
        <v>1355.0</v>
      </c>
      <c r="G19" s="122">
        <v>2663.0</v>
      </c>
      <c r="H19" s="123" t="s">
        <v>253</v>
      </c>
      <c r="I19" s="124" t="s">
        <v>260</v>
      </c>
      <c r="J19" s="125" t="str">
        <f>HYPERLINK("https://www.lexware.de/preise/","Lexware invoicing, banking, payment and bookkeeping tool-cost reference")</f>
        <v>Lexware invoicing, banking, payment and bookkeeping tool-cost reference</v>
      </c>
      <c r="K19" s="126" t="s">
        <v>261</v>
      </c>
    </row>
    <row r="20" ht="31.5" customHeight="1">
      <c r="A20" s="119" t="s">
        <v>262</v>
      </c>
      <c r="B20" s="120" t="b">
        <v>1</v>
      </c>
      <c r="C20" s="120" t="b">
        <v>1</v>
      </c>
      <c r="D20" s="120" t="b">
        <v>1</v>
      </c>
      <c r="E20" s="120" t="b">
        <v>1</v>
      </c>
      <c r="F20" s="121">
        <v>600.0</v>
      </c>
      <c r="G20" s="122">
        <v>1200.0</v>
      </c>
      <c r="H20" s="123" t="s">
        <v>253</v>
      </c>
      <c r="I20" s="124" t="s">
        <v>263</v>
      </c>
      <c r="J20" s="125" t="str">
        <f>HYPERLINK("https://www.gesetze-im-internet.de/stbgebv/BJNR014420981.html","StBVV-style recurring support benchmark for tax-payment tracking")</f>
        <v>StBVV-style recurring support benchmark for tax-payment tracking</v>
      </c>
      <c r="K20" s="126" t="s">
        <v>264</v>
      </c>
    </row>
    <row r="21" ht="31.5" customHeight="1">
      <c r="A21" s="119" t="s">
        <v>265</v>
      </c>
      <c r="B21" s="120" t="b">
        <v>1</v>
      </c>
      <c r="C21" s="120" t="b">
        <v>1</v>
      </c>
      <c r="D21" s="120" t="b">
        <v>1</v>
      </c>
      <c r="E21" s="120" t="b">
        <v>1</v>
      </c>
      <c r="F21" s="121">
        <v>900.0</v>
      </c>
      <c r="G21" s="122">
        <v>1800.0</v>
      </c>
      <c r="H21" s="123" t="s">
        <v>253</v>
      </c>
      <c r="I21" s="124" t="s">
        <v>266</v>
      </c>
      <c r="J21" s="125" t="str">
        <f>HYPERLINK("https://www.firma.de/beratung-steuerberater/","Tax-advice benchmark for correspondence support and authority letters")</f>
        <v>Tax-advice benchmark for correspondence support and authority letters</v>
      </c>
      <c r="K21" s="126" t="s">
        <v>267</v>
      </c>
    </row>
    <row r="22" ht="31.5" customHeight="1">
      <c r="A22" s="119" t="s">
        <v>268</v>
      </c>
      <c r="B22" s="120" t="b">
        <v>1</v>
      </c>
      <c r="C22" s="120" t="b">
        <v>1</v>
      </c>
      <c r="D22" s="120" t="b">
        <v>1</v>
      </c>
      <c r="E22" s="120" t="b">
        <v>1</v>
      </c>
      <c r="F22" s="121">
        <v>750.0</v>
      </c>
      <c r="G22" s="122">
        <v>1500.0</v>
      </c>
      <c r="H22" s="123" t="s">
        <v>269</v>
      </c>
      <c r="I22" s="124" t="s">
        <v>270</v>
      </c>
      <c r="J22" s="125" t="str">
        <f>HYPERLINK("https://www.gesetze-im-internet.de/stbgebv/BJNR014420981.html","Professional time-fee benchmark for authority correspondence and case work")</f>
        <v>Professional time-fee benchmark for authority correspondence and case work</v>
      </c>
      <c r="K22" s="126" t="s">
        <v>271</v>
      </c>
    </row>
    <row r="23" ht="31.5" customHeight="1">
      <c r="A23" s="119" t="s">
        <v>272</v>
      </c>
      <c r="B23" s="120" t="b">
        <v>0</v>
      </c>
      <c r="C23" s="120" t="b">
        <v>1</v>
      </c>
      <c r="D23" s="120" t="b">
        <v>1</v>
      </c>
      <c r="E23" s="120" t="b">
        <v>1</v>
      </c>
      <c r="F23" s="121">
        <v>350.0</v>
      </c>
      <c r="G23" s="122">
        <v>700.0</v>
      </c>
      <c r="H23" s="123" t="s">
        <v>273</v>
      </c>
      <c r="I23" s="124" t="s">
        <v>274</v>
      </c>
      <c r="J23" s="125" t="str">
        <f>HYPERLINK("https://www.gesetze-im-internet.de/stbgebv/BJNR014420981.html","Professional benchmark for depreciation and tax-planning analysis")</f>
        <v>Professional benchmark for depreciation and tax-planning analysis</v>
      </c>
      <c r="K23" s="126" t="s">
        <v>275</v>
      </c>
    </row>
    <row r="24" ht="31.5" customHeight="1">
      <c r="A24" s="119" t="s">
        <v>276</v>
      </c>
      <c r="B24" s="120" t="b">
        <v>0</v>
      </c>
      <c r="C24" s="120" t="b">
        <v>1</v>
      </c>
      <c r="D24" s="120" t="b">
        <v>1</v>
      </c>
      <c r="E24" s="120" t="b">
        <v>1</v>
      </c>
      <c r="F24" s="121">
        <v>350.0</v>
      </c>
      <c r="G24" s="122">
        <v>700.0</v>
      </c>
      <c r="H24" s="123" t="s">
        <v>273</v>
      </c>
      <c r="I24" s="124" t="s">
        <v>277</v>
      </c>
      <c r="J24" s="125" t="str">
        <f>HYPERLINK("https://www.firma.de/beratung-steuerberater/","Tax-advice benchmark for retained-profit and investment planning")</f>
        <v>Tax-advice benchmark for retained-profit and investment planning</v>
      </c>
      <c r="K24" s="126" t="s">
        <v>278</v>
      </c>
    </row>
    <row r="25" ht="31.5" customHeight="1">
      <c r="A25" s="119" t="s">
        <v>279</v>
      </c>
      <c r="B25" s="120" t="b">
        <v>0</v>
      </c>
      <c r="C25" s="120" t="b">
        <v>1</v>
      </c>
      <c r="D25" s="120" t="b">
        <v>1</v>
      </c>
      <c r="E25" s="120" t="b">
        <v>1</v>
      </c>
      <c r="F25" s="121">
        <v>250.0</v>
      </c>
      <c r="G25" s="122">
        <v>500.0</v>
      </c>
      <c r="H25" s="123" t="s">
        <v>236</v>
      </c>
      <c r="I25" s="124" t="s">
        <v>280</v>
      </c>
      <c r="J25" s="125" t="str">
        <f>HYPERLINK("https://www.gesetze-im-internet.de/stbgebv/BJNR014420981.html","Professional support benchmark for setup and evidence handling")</f>
        <v>Professional support benchmark for setup and evidence handling</v>
      </c>
      <c r="K25" s="126" t="s">
        <v>281</v>
      </c>
    </row>
    <row r="26" ht="31.5" customHeight="1">
      <c r="A26" s="119" t="s">
        <v>282</v>
      </c>
      <c r="B26" s="120" t="b">
        <v>0</v>
      </c>
      <c r="C26" s="120" t="b">
        <v>0</v>
      </c>
      <c r="D26" s="120" t="b">
        <v>1</v>
      </c>
      <c r="E26" s="120" t="b">
        <v>0</v>
      </c>
      <c r="F26" s="121">
        <v>500.0</v>
      </c>
      <c r="G26" s="122">
        <v>1000.0</v>
      </c>
      <c r="H26" s="123" t="s">
        <v>273</v>
      </c>
      <c r="I26" s="124" t="s">
        <v>283</v>
      </c>
      <c r="J26" s="125" t="str">
        <f>HYPERLINK("https://www.firma.de/beratung-steuerberater/","Tax-advice benchmark for pension reserve planning support")</f>
        <v>Tax-advice benchmark for pension reserve planning support</v>
      </c>
      <c r="K26" s="126" t="s">
        <v>284</v>
      </c>
    </row>
    <row r="27" ht="31.5" customHeight="1">
      <c r="A27" s="119" t="s">
        <v>285</v>
      </c>
      <c r="B27" s="120" t="b">
        <v>0</v>
      </c>
      <c r="C27" s="120" t="b">
        <v>0</v>
      </c>
      <c r="D27" s="120" t="b">
        <v>0</v>
      </c>
      <c r="E27" s="120" t="b">
        <v>1</v>
      </c>
      <c r="F27" s="121">
        <v>1000.0</v>
      </c>
      <c r="G27" s="122">
        <v>2000.0</v>
      </c>
      <c r="H27" s="123" t="s">
        <v>286</v>
      </c>
      <c r="I27" s="124" t="s">
        <v>287</v>
      </c>
      <c r="J27" s="125" t="str">
        <f>HYPERLINK("https://www.gesetze-im-internet.de/stbgebv/BJNR014420981.html","Professional benchmark for complex cross-border tax and accounting work")</f>
        <v>Professional benchmark for complex cross-border tax and accounting work</v>
      </c>
      <c r="K27" s="126" t="s">
        <v>288</v>
      </c>
    </row>
    <row r="28" ht="31.5" customHeight="1">
      <c r="A28" s="119" t="s">
        <v>289</v>
      </c>
      <c r="B28" s="120" t="b">
        <v>0</v>
      </c>
      <c r="C28" s="120" t="b">
        <v>0</v>
      </c>
      <c r="D28" s="120" t="b">
        <v>0</v>
      </c>
      <c r="E28" s="120" t="b">
        <v>1</v>
      </c>
      <c r="F28" s="121">
        <v>3000.0</v>
      </c>
      <c r="G28" s="122">
        <v>6000.0</v>
      </c>
      <c r="H28" s="123" t="s">
        <v>253</v>
      </c>
      <c r="I28" s="124" t="s">
        <v>290</v>
      </c>
      <c r="J28" s="125" t="str">
        <f>HYPERLINK("https://www.irishstatutebook.ie/eli/2014/act/38/section/137/enacted/en/html","Irish Companies Act director-residence reference plus annual director-service estimate")</f>
        <v>Irish Companies Act director-residence reference plus annual director-service estimate</v>
      </c>
      <c r="K28" s="126" t="s">
        <v>291</v>
      </c>
    </row>
    <row r="29" ht="31.5" customHeight="1">
      <c r="A29" s="119" t="s">
        <v>292</v>
      </c>
      <c r="B29" s="120" t="b">
        <v>1</v>
      </c>
      <c r="C29" s="120" t="b">
        <v>1</v>
      </c>
      <c r="D29" s="120" t="b">
        <v>1</v>
      </c>
      <c r="E29" s="120" t="b">
        <v>1</v>
      </c>
      <c r="F29" s="121">
        <v>300.0</v>
      </c>
      <c r="G29" s="122">
        <v>600.0</v>
      </c>
      <c r="H29" s="123" t="s">
        <v>236</v>
      </c>
      <c r="I29" s="124" t="s">
        <v>293</v>
      </c>
      <c r="J29" s="125" t="str">
        <f>HYPERLINK("https://www.arbeitsagentur.de/unternehmen/betriebsnummern-service","Bundesagentur employer-number service plus employer registration support estimate")</f>
        <v>Bundesagentur employer-number service plus employer registration support estimate</v>
      </c>
      <c r="K29" s="126" t="s">
        <v>294</v>
      </c>
    </row>
    <row r="30" ht="31.5" customHeight="1">
      <c r="A30" s="119" t="s">
        <v>295</v>
      </c>
      <c r="B30" s="120" t="b">
        <v>1</v>
      </c>
      <c r="C30" s="120" t="b">
        <v>1</v>
      </c>
      <c r="D30" s="120" t="b">
        <v>1</v>
      </c>
      <c r="E30" s="120" t="b">
        <v>1</v>
      </c>
      <c r="F30" s="121">
        <v>281.0</v>
      </c>
      <c r="G30" s="122">
        <v>531.0</v>
      </c>
      <c r="H30" s="123" t="s">
        <v>222</v>
      </c>
      <c r="I30" s="124" t="s">
        <v>296</v>
      </c>
      <c r="J30" s="125" t="str">
        <f>HYPERLINK("https://service.berlin.de/dienstleistung/121921/","Berlin Gewerbeanmeldung fee reference plus registration support estimate")</f>
        <v>Berlin Gewerbeanmeldung fee reference plus registration support estimate</v>
      </c>
      <c r="K30" s="126" t="s">
        <v>297</v>
      </c>
    </row>
    <row r="31" ht="31.5" customHeight="1">
      <c r="A31" s="119" t="s">
        <v>298</v>
      </c>
      <c r="B31" s="120" t="b">
        <v>0</v>
      </c>
      <c r="C31" s="120" t="b">
        <v>1</v>
      </c>
      <c r="D31" s="120" t="b">
        <v>1</v>
      </c>
      <c r="E31" s="120" t="b">
        <v>1</v>
      </c>
      <c r="F31" s="121">
        <v>250.0</v>
      </c>
      <c r="G31" s="122">
        <v>500.0</v>
      </c>
      <c r="H31" s="123" t="s">
        <v>236</v>
      </c>
      <c r="I31" s="124" t="s">
        <v>299</v>
      </c>
      <c r="J31" s="125" t="str">
        <f>HYPERLINK("https://www.gesetze-im-internet.de/stbgebv/BJNR014420981.html","Professional support benchmark for bank-account setup and records")</f>
        <v>Professional support benchmark for bank-account setup and records</v>
      </c>
      <c r="K31" s="126" t="s">
        <v>300</v>
      </c>
    </row>
    <row r="32" ht="31.5" customHeight="1">
      <c r="A32" s="119" t="s">
        <v>301</v>
      </c>
      <c r="B32" s="120" t="b">
        <v>0</v>
      </c>
      <c r="C32" s="120" t="b">
        <v>1</v>
      </c>
      <c r="D32" s="120" t="b">
        <v>1</v>
      </c>
      <c r="E32" s="120" t="b">
        <v>1</v>
      </c>
      <c r="F32" s="121">
        <v>600.0</v>
      </c>
      <c r="G32" s="122">
        <v>1200.0</v>
      </c>
      <c r="H32" s="123" t="s">
        <v>302</v>
      </c>
      <c r="I32" s="124" t="s">
        <v>303</v>
      </c>
      <c r="J32" s="125" t="str">
        <f>HYPERLINK("https://www.firma.de/beratung-anwalt/","Legal-consultation benchmark for service agreement support")</f>
        <v>Legal-consultation benchmark for service agreement support</v>
      </c>
      <c r="K32" s="126" t="s">
        <v>304</v>
      </c>
    </row>
    <row r="33" ht="31.5" customHeight="1">
      <c r="A33" s="119" t="s">
        <v>305</v>
      </c>
      <c r="B33" s="120" t="b">
        <v>0</v>
      </c>
      <c r="C33" s="120" t="b">
        <v>1</v>
      </c>
      <c r="D33" s="120" t="b">
        <v>1</v>
      </c>
      <c r="E33" s="120" t="b">
        <v>1</v>
      </c>
      <c r="F33" s="121">
        <v>500.0</v>
      </c>
      <c r="G33" s="122">
        <v>1000.0</v>
      </c>
      <c r="H33" s="123" t="s">
        <v>306</v>
      </c>
      <c r="I33" s="124" t="s">
        <v>307</v>
      </c>
      <c r="J33" s="125" t="str">
        <f>HYPERLINK("https://www.firma.de/beratung-anwalt/","Legal-consultation benchmark for employment contract change support")</f>
        <v>Legal-consultation benchmark for employment contract change support</v>
      </c>
      <c r="K33" s="126" t="s">
        <v>308</v>
      </c>
    </row>
    <row r="34" ht="31.5" customHeight="1">
      <c r="A34" s="119" t="s">
        <v>309</v>
      </c>
      <c r="B34" s="120" t="b">
        <v>0</v>
      </c>
      <c r="C34" s="120" t="b">
        <v>1</v>
      </c>
      <c r="D34" s="120" t="b">
        <v>1</v>
      </c>
      <c r="E34" s="120" t="b">
        <v>1</v>
      </c>
      <c r="F34" s="121">
        <v>650.0</v>
      </c>
      <c r="G34" s="122">
        <v>1300.0</v>
      </c>
      <c r="H34" s="123" t="s">
        <v>310</v>
      </c>
      <c r="I34" s="124" t="s">
        <v>311</v>
      </c>
      <c r="J34" s="125" t="str">
        <f>HYPERLINK("https://www.firma.de/satzung/","Company-document benchmark for shareholder/subscription document support")</f>
        <v>Company-document benchmark for shareholder/subscription document support</v>
      </c>
      <c r="K34" s="126" t="s">
        <v>312</v>
      </c>
    </row>
    <row r="35" ht="31.5" customHeight="1">
      <c r="A35" s="119" t="s">
        <v>313</v>
      </c>
      <c r="B35" s="120" t="b">
        <v>1</v>
      </c>
      <c r="C35" s="120" t="b">
        <v>1</v>
      </c>
      <c r="D35" s="120" t="b">
        <v>1</v>
      </c>
      <c r="E35" s="120" t="b">
        <v>1</v>
      </c>
      <c r="F35" s="121">
        <v>300.0</v>
      </c>
      <c r="G35" s="122">
        <v>600.0</v>
      </c>
      <c r="H35" s="123" t="s">
        <v>314</v>
      </c>
      <c r="I35" s="124" t="s">
        <v>315</v>
      </c>
      <c r="J35" s="125" t="str">
        <f>HYPERLINK("https://rbo.gov.ie/","RBO Ireland official filing route for relevant Irish incorporated entities")</f>
        <v>RBO Ireland official filing route for relevant Irish incorporated entities</v>
      </c>
      <c r="K35" s="126" t="s">
        <v>316</v>
      </c>
    </row>
    <row r="36" ht="31.5" customHeight="1">
      <c r="A36" s="119" t="s">
        <v>317</v>
      </c>
      <c r="B36" s="120" t="b">
        <v>0</v>
      </c>
      <c r="C36" s="120" t="b">
        <v>0</v>
      </c>
      <c r="D36" s="120" t="b">
        <v>0</v>
      </c>
      <c r="E36" s="120" t="b">
        <v>0</v>
      </c>
      <c r="F36" s="121">
        <v>750.0</v>
      </c>
      <c r="G36" s="122">
        <v>1500.0</v>
      </c>
      <c r="H36" s="123" t="s">
        <v>318</v>
      </c>
      <c r="I36" s="124" t="s">
        <v>319</v>
      </c>
      <c r="J36" s="125" t="str">
        <f>HYPERLINK("https://www.gesetze-im-internet.de/stbgebv/BJNR014420981.html","StBVV personal tax filing and income-calculation benchmark")</f>
        <v>StBVV personal tax filing and income-calculation benchmark</v>
      </c>
      <c r="K36" s="126" t="s">
        <v>320</v>
      </c>
    </row>
    <row r="37" ht="31.5" customHeight="1">
      <c r="A37" s="119" t="s">
        <v>321</v>
      </c>
      <c r="B37" s="120" t="b">
        <v>0</v>
      </c>
      <c r="C37" s="120" t="b">
        <v>0</v>
      </c>
      <c r="D37" s="120" t="b">
        <v>0</v>
      </c>
      <c r="E37" s="120" t="b">
        <v>0</v>
      </c>
      <c r="F37" s="121">
        <v>450.0</v>
      </c>
      <c r="G37" s="122">
        <v>900.0</v>
      </c>
      <c r="H37" s="123" t="s">
        <v>322</v>
      </c>
      <c r="I37" s="124" t="s">
        <v>323</v>
      </c>
      <c r="J37" s="125" t="str">
        <f>HYPERLINK("https://www.gesetze-im-internet.de/stbgebv/BJNR014420981.html","Professional support benchmark for parental leave and salary-timing planning")</f>
        <v>Professional support benchmark for parental leave and salary-timing planning</v>
      </c>
      <c r="K37" s="126" t="s">
        <v>324</v>
      </c>
    </row>
    <row r="38" ht="31.5" customHeight="1">
      <c r="A38" s="127" t="s">
        <v>325</v>
      </c>
      <c r="B38" s="128" t="b">
        <v>0</v>
      </c>
      <c r="C38" s="128" t="b">
        <v>1</v>
      </c>
      <c r="D38" s="128" t="b">
        <v>1</v>
      </c>
      <c r="E38" s="128" t="b">
        <v>1</v>
      </c>
      <c r="F38" s="129">
        <v>500.0</v>
      </c>
      <c r="G38" s="130">
        <v>1000.0</v>
      </c>
      <c r="H38" s="131" t="s">
        <v>314</v>
      </c>
      <c r="I38" s="132" t="s">
        <v>326</v>
      </c>
      <c r="J38" s="133" t="str">
        <f>HYPERLINK("https://www.firma.de/beratung-steuerberater/","Tax-advice benchmark for forecast and life-change planning support")</f>
        <v>Tax-advice benchmark for forecast and life-change planning support</v>
      </c>
      <c r="K38" s="134" t="s">
        <v>327</v>
      </c>
    </row>
    <row r="39" ht="31.5" customHeight="1">
      <c r="A39" s="135" t="s">
        <v>328</v>
      </c>
      <c r="B39" s="110" t="b">
        <v>0</v>
      </c>
      <c r="C39" s="110" t="b">
        <v>1</v>
      </c>
      <c r="D39" s="110" t="b">
        <v>1</v>
      </c>
      <c r="E39" s="110" t="b">
        <v>1</v>
      </c>
      <c r="F39" s="136">
        <v>600.0</v>
      </c>
      <c r="G39" s="136">
        <v>1200.0</v>
      </c>
      <c r="H39" s="137" t="s">
        <v>253</v>
      </c>
      <c r="I39" s="110" t="s">
        <v>329</v>
      </c>
      <c r="J39" s="138" t="str">
        <f>HYPERLINK("https://www.gesetze-im-internet.de/stbgebv/BJNR014420981.html","StBVV-style time-fee benchmark for recurring client support")</f>
        <v>StBVV-style time-fee benchmark for recurring client support</v>
      </c>
      <c r="K39" s="110" t="s">
        <v>330</v>
      </c>
    </row>
  </sheetData>
  <autoFilter ref="$A$7:$K$39"/>
  <mergeCells count="2">
    <mergeCell ref="A1:K1"/>
    <mergeCell ref="A5:K5"/>
  </mergeCells>
  <drawing r:id="rId1"/>
</worksheet>
</file>